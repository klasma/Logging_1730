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45739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45739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45739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45739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45739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45739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45739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45739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45739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38044-2021</t>
        </is>
      </c>
      <c r="B11" s="1" t="n">
        <v>44404</v>
      </c>
      <c r="C11" s="1" t="n">
        <v>45739</v>
      </c>
      <c r="D11" t="inlineStr">
        <is>
          <t>VÄRMLANDS LÄN</t>
        </is>
      </c>
      <c r="E11" t="inlineStr">
        <is>
          <t>EDA</t>
        </is>
      </c>
      <c r="G11" t="n">
        <v>11.4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Grönsiska
Orre</t>
        </is>
      </c>
      <c r="S11">
        <f>HYPERLINK("https://klasma.github.io/Logging_1730/artfynd/A 38044-2021 artfynd.xlsx", "A 38044-2021")</f>
        <v/>
      </c>
      <c r="T11">
        <f>HYPERLINK("https://klasma.github.io/Logging_1730/kartor/A 38044-2021 karta.png", "A 38044-2021")</f>
        <v/>
      </c>
      <c r="V11">
        <f>HYPERLINK("https://klasma.github.io/Logging_1730/klagomål/A 38044-2021 FSC-klagomål.docx", "A 38044-2021")</f>
        <v/>
      </c>
      <c r="W11">
        <f>HYPERLINK("https://klasma.github.io/Logging_1730/klagomålsmail/A 38044-2021 FSC-klagomål mail.docx", "A 38044-2021")</f>
        <v/>
      </c>
      <c r="X11">
        <f>HYPERLINK("https://klasma.github.io/Logging_1730/tillsyn/A 38044-2021 tillsynsbegäran.docx", "A 38044-2021")</f>
        <v/>
      </c>
      <c r="Y11">
        <f>HYPERLINK("https://klasma.github.io/Logging_1730/tillsynsmail/A 38044-2021 tillsynsbegäran mail.docx", "A 38044-2021")</f>
        <v/>
      </c>
      <c r="Z11">
        <f>HYPERLINK("https://klasma.github.io/Logging_1730/fåglar/A 38044-2021 prioriterade fågelarter.docx", "A 38044-2021")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45739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51253-2022</t>
        </is>
      </c>
      <c r="B13" s="1" t="n">
        <v>44868</v>
      </c>
      <c r="C13" s="1" t="n">
        <v>45739</v>
      </c>
      <c r="D13" t="inlineStr">
        <is>
          <t>VÄRMLANDS LÄN</t>
        </is>
      </c>
      <c r="E13" t="inlineStr">
        <is>
          <t>EDA</t>
        </is>
      </c>
      <c r="G13" t="n">
        <v>8.9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HYPERLINK("https://klasma.github.io/Logging_1730/artfynd/A 51253-2022 artfynd.xlsx", "A 51253-2022")</f>
        <v/>
      </c>
      <c r="T13">
        <f>HYPERLINK("https://klasma.github.io/Logging_1730/kartor/A 51253-2022 karta.png", "A 51253-2022")</f>
        <v/>
      </c>
      <c r="V13">
        <f>HYPERLINK("https://klasma.github.io/Logging_1730/klagomål/A 51253-2022 FSC-klagomål.docx", "A 51253-2022")</f>
        <v/>
      </c>
      <c r="W13">
        <f>HYPERLINK("https://klasma.github.io/Logging_1730/klagomålsmail/A 51253-2022 FSC-klagomål mail.docx", "A 51253-2022")</f>
        <v/>
      </c>
      <c r="X13">
        <f>HYPERLINK("https://klasma.github.io/Logging_1730/tillsyn/A 51253-2022 tillsynsbegäran.docx", "A 51253-2022")</f>
        <v/>
      </c>
      <c r="Y13">
        <f>HYPERLINK("https://klasma.github.io/Logging_1730/tillsynsmail/A 51253-2022 tillsynsbegäran mail.docx", "A 51253-2022")</f>
        <v/>
      </c>
    </row>
    <row r="14" ht="15" customHeight="1">
      <c r="A14" t="inlineStr">
        <is>
          <t>A 54195-2022</t>
        </is>
      </c>
      <c r="B14" s="1" t="n">
        <v>44881</v>
      </c>
      <c r="C14" s="1" t="n">
        <v>45739</v>
      </c>
      <c r="D14" t="inlineStr">
        <is>
          <t>VÄRMLANDS LÄN</t>
        </is>
      </c>
      <c r="E14" t="inlineStr">
        <is>
          <t>EDA</t>
        </is>
      </c>
      <c r="G14" t="n">
        <v>11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Springkorn</t>
        </is>
      </c>
      <c r="S14">
        <f>HYPERLINK("https://klasma.github.io/Logging_1730/artfynd/A 54195-2022 artfynd.xlsx", "A 54195-2022")</f>
        <v/>
      </c>
      <c r="T14">
        <f>HYPERLINK("https://klasma.github.io/Logging_1730/kartor/A 54195-2022 karta.png", "A 54195-2022")</f>
        <v/>
      </c>
      <c r="V14">
        <f>HYPERLINK("https://klasma.github.io/Logging_1730/klagomål/A 54195-2022 FSC-klagomål.docx", "A 54195-2022")</f>
        <v/>
      </c>
      <c r="W14">
        <f>HYPERLINK("https://klasma.github.io/Logging_1730/klagomålsmail/A 54195-2022 FSC-klagomål mail.docx", "A 54195-2022")</f>
        <v/>
      </c>
      <c r="X14">
        <f>HYPERLINK("https://klasma.github.io/Logging_1730/tillsyn/A 54195-2022 tillsynsbegäran.docx", "A 54195-2022")</f>
        <v/>
      </c>
      <c r="Y14">
        <f>HYPERLINK("https://klasma.github.io/Logging_1730/tillsynsmail/A 54195-2022 tillsynsbegäran mail.docx", "A 54195-2022")</f>
        <v/>
      </c>
    </row>
    <row r="15" ht="15" customHeight="1">
      <c r="A15" t="inlineStr">
        <is>
          <t>A 26039-2023</t>
        </is>
      </c>
      <c r="B15" s="1" t="n">
        <v>45091</v>
      </c>
      <c r="C15" s="1" t="n">
        <v>45739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9157-2024</t>
        </is>
      </c>
      <c r="B16" s="1" t="n">
        <v>45358</v>
      </c>
      <c r="C16" s="1" t="n">
        <v>45739</v>
      </c>
      <c r="D16" t="inlineStr">
        <is>
          <t>VÄRMLANDS LÄN</t>
        </is>
      </c>
      <c r="E16" t="inlineStr">
        <is>
          <t>EDA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Bronshjon</t>
        </is>
      </c>
      <c r="S16">
        <f>HYPERLINK("https://klasma.github.io/Logging_1730/artfynd/A 9157-2024 artfynd.xlsx", "A 9157-2024")</f>
        <v/>
      </c>
      <c r="T16">
        <f>HYPERLINK("https://klasma.github.io/Logging_1730/kartor/A 9157-2024 karta.png", "A 9157-2024")</f>
        <v/>
      </c>
      <c r="V16">
        <f>HYPERLINK("https://klasma.github.io/Logging_1730/klagomål/A 9157-2024 FSC-klagomål.docx", "A 9157-2024")</f>
        <v/>
      </c>
      <c r="W16">
        <f>HYPERLINK("https://klasma.github.io/Logging_1730/klagomålsmail/A 9157-2024 FSC-klagomål mail.docx", "A 9157-2024")</f>
        <v/>
      </c>
      <c r="X16">
        <f>HYPERLINK("https://klasma.github.io/Logging_1730/tillsyn/A 9157-2024 tillsynsbegäran.docx", "A 9157-2024")</f>
        <v/>
      </c>
      <c r="Y16">
        <f>HYPERLINK("https://klasma.github.io/Logging_1730/tillsynsmail/A 9157-2024 tillsynsbegäran mail.docx", "A 9157-2024")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45739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18763-2024</t>
        </is>
      </c>
      <c r="B18" s="1" t="n">
        <v>45426</v>
      </c>
      <c r="C18" s="1" t="n">
        <v>45739</v>
      </c>
      <c r="D18" t="inlineStr">
        <is>
          <t>VÄRMLANDS LÄN</t>
        </is>
      </c>
      <c r="E18" t="inlineStr">
        <is>
          <t>EDA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Bronshjon</t>
        </is>
      </c>
      <c r="S18">
        <f>HYPERLINK("https://klasma.github.io/Logging_1730/artfynd/A 18763-2024 artfynd.xlsx", "A 18763-2024")</f>
        <v/>
      </c>
      <c r="T18">
        <f>HYPERLINK("https://klasma.github.io/Logging_1730/kartor/A 18763-2024 karta.png", "A 18763-2024")</f>
        <v/>
      </c>
      <c r="V18">
        <f>HYPERLINK("https://klasma.github.io/Logging_1730/klagomål/A 18763-2024 FSC-klagomål.docx", "A 18763-2024")</f>
        <v/>
      </c>
      <c r="W18">
        <f>HYPERLINK("https://klasma.github.io/Logging_1730/klagomålsmail/A 18763-2024 FSC-klagomål mail.docx", "A 18763-2024")</f>
        <v/>
      </c>
      <c r="X18">
        <f>HYPERLINK("https://klasma.github.io/Logging_1730/tillsyn/A 18763-2024 tillsynsbegäran.docx", "A 18763-2024")</f>
        <v/>
      </c>
      <c r="Y18">
        <f>HYPERLINK("https://klasma.github.io/Logging_1730/tillsynsmail/A 18763-2024 tillsynsbegäran mail.docx", "A 18763-2024")</f>
        <v/>
      </c>
    </row>
    <row r="19" ht="15" customHeight="1">
      <c r="A19" t="inlineStr">
        <is>
          <t>A 45093-2024</t>
        </is>
      </c>
      <c r="B19" s="1" t="n">
        <v>45575</v>
      </c>
      <c r="C19" s="1" t="n">
        <v>45739</v>
      </c>
      <c r="D19" t="inlineStr">
        <is>
          <t>VÄRMLANDS LÄN</t>
        </is>
      </c>
      <c r="E19" t="inlineStr">
        <is>
          <t>EDA</t>
        </is>
      </c>
      <c r="G19" t="n">
        <v>3.6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Svartvit flugsnappare</t>
        </is>
      </c>
      <c r="S19">
        <f>HYPERLINK("https://klasma.github.io/Logging_1730/artfynd/A 45093-2024 artfynd.xlsx", "A 45093-2024")</f>
        <v/>
      </c>
      <c r="T19">
        <f>HYPERLINK("https://klasma.github.io/Logging_1730/kartor/A 45093-2024 karta.png", "A 45093-2024")</f>
        <v/>
      </c>
      <c r="V19">
        <f>HYPERLINK("https://klasma.github.io/Logging_1730/klagomål/A 45093-2024 FSC-klagomål.docx", "A 45093-2024")</f>
        <v/>
      </c>
      <c r="W19">
        <f>HYPERLINK("https://klasma.github.io/Logging_1730/klagomålsmail/A 45093-2024 FSC-klagomål mail.docx", "A 45093-2024")</f>
        <v/>
      </c>
      <c r="X19">
        <f>HYPERLINK("https://klasma.github.io/Logging_1730/tillsyn/A 45093-2024 tillsynsbegäran.docx", "A 45093-2024")</f>
        <v/>
      </c>
      <c r="Y19">
        <f>HYPERLINK("https://klasma.github.io/Logging_1730/tillsynsmail/A 45093-2024 tillsynsbegäran mail.docx", "A 45093-2024")</f>
        <v/>
      </c>
      <c r="Z19">
        <f>HYPERLINK("https://klasma.github.io/Logging_1730/fåglar/A 45093-2024 prioriterade fågelarter.docx", "A 45093-2024")</f>
        <v/>
      </c>
    </row>
    <row r="20" ht="15" customHeight="1">
      <c r="A20" t="inlineStr">
        <is>
          <t>A 57014-2019</t>
        </is>
      </c>
      <c r="B20" s="1" t="n">
        <v>43766</v>
      </c>
      <c r="C20" s="1" t="n">
        <v>45739</v>
      </c>
      <c r="D20" t="inlineStr">
        <is>
          <t>VÄRMLANDS LÄN</t>
        </is>
      </c>
      <c r="E20" t="inlineStr">
        <is>
          <t>EDA</t>
        </is>
      </c>
      <c r="G20" t="n">
        <v>1.1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HYPERLINK("https://klasma.github.io/Logging_1730/artfynd/A 57014-2019 artfynd.xlsx", "A 57014-2019")</f>
        <v/>
      </c>
      <c r="T20">
        <f>HYPERLINK("https://klasma.github.io/Logging_1730/kartor/A 57014-2019 karta.png", "A 57014-2019")</f>
        <v/>
      </c>
      <c r="V20">
        <f>HYPERLINK("https://klasma.github.io/Logging_1730/klagomål/A 57014-2019 FSC-klagomål.docx", "A 57014-2019")</f>
        <v/>
      </c>
      <c r="W20">
        <f>HYPERLINK("https://klasma.github.io/Logging_1730/klagomålsmail/A 57014-2019 FSC-klagomål mail.docx", "A 57014-2019")</f>
        <v/>
      </c>
      <c r="X20">
        <f>HYPERLINK("https://klasma.github.io/Logging_1730/tillsyn/A 57014-2019 tillsynsbegäran.docx", "A 57014-2019")</f>
        <v/>
      </c>
      <c r="Y20">
        <f>HYPERLINK("https://klasma.github.io/Logging_1730/tillsynsmail/A 57014-2019 tillsynsbegäran mail.docx", "A 57014-2019")</f>
        <v/>
      </c>
    </row>
    <row r="21" ht="15" customHeight="1">
      <c r="A21" t="inlineStr">
        <is>
          <t>A 66802-2020</t>
        </is>
      </c>
      <c r="B21" s="1" t="n">
        <v>44179</v>
      </c>
      <c r="C21" s="1" t="n">
        <v>45739</v>
      </c>
      <c r="D21" t="inlineStr">
        <is>
          <t>VÄRMLANDS LÄN</t>
        </is>
      </c>
      <c r="E21" t="inlineStr">
        <is>
          <t>EDA</t>
        </is>
      </c>
      <c r="G21" t="n">
        <v>8.1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Mindre flugsnappare</t>
        </is>
      </c>
      <c r="S21">
        <f>HYPERLINK("https://klasma.github.io/Logging_1730/artfynd/A 66802-2020 artfynd.xlsx", "A 66802-2020")</f>
        <v/>
      </c>
      <c r="T21">
        <f>HYPERLINK("https://klasma.github.io/Logging_1730/kartor/A 66802-2020 karta.png", "A 66802-2020")</f>
        <v/>
      </c>
      <c r="V21">
        <f>HYPERLINK("https://klasma.github.io/Logging_1730/klagomål/A 66802-2020 FSC-klagomål.docx", "A 66802-2020")</f>
        <v/>
      </c>
      <c r="W21">
        <f>HYPERLINK("https://klasma.github.io/Logging_1730/klagomålsmail/A 66802-2020 FSC-klagomål mail.docx", "A 66802-2020")</f>
        <v/>
      </c>
      <c r="X21">
        <f>HYPERLINK("https://klasma.github.io/Logging_1730/tillsyn/A 66802-2020 tillsynsbegäran.docx", "A 66802-2020")</f>
        <v/>
      </c>
      <c r="Y21">
        <f>HYPERLINK("https://klasma.github.io/Logging_1730/tillsynsmail/A 66802-2020 tillsynsbegäran mail.docx", "A 66802-2020")</f>
        <v/>
      </c>
      <c r="Z21">
        <f>HYPERLINK("https://klasma.github.io/Logging_1730/fåglar/A 66802-2020 prioriterade fågelarter.docx", "A 66802-2020")</f>
        <v/>
      </c>
    </row>
    <row r="22" ht="15" customHeight="1">
      <c r="A22" t="inlineStr">
        <is>
          <t>A 33243-2021</t>
        </is>
      </c>
      <c r="B22" s="1" t="n">
        <v>44377</v>
      </c>
      <c r="C22" s="1" t="n">
        <v>45739</v>
      </c>
      <c r="D22" t="inlineStr">
        <is>
          <t>VÄRMLANDS LÄN</t>
        </is>
      </c>
      <c r="E22" t="inlineStr">
        <is>
          <t>EDA</t>
        </is>
      </c>
      <c r="G22" t="n">
        <v>7.1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HYPERLINK("https://klasma.github.io/Logging_1730/artfynd/A 33243-2021 artfynd.xlsx", "A 33243-2021")</f>
        <v/>
      </c>
      <c r="T22">
        <f>HYPERLINK("https://klasma.github.io/Logging_1730/kartor/A 33243-2021 karta.png", "A 33243-2021")</f>
        <v/>
      </c>
      <c r="V22">
        <f>HYPERLINK("https://klasma.github.io/Logging_1730/klagomål/A 33243-2021 FSC-klagomål.docx", "A 33243-2021")</f>
        <v/>
      </c>
      <c r="W22">
        <f>HYPERLINK("https://klasma.github.io/Logging_1730/klagomålsmail/A 33243-2021 FSC-klagomål mail.docx", "A 33243-2021")</f>
        <v/>
      </c>
      <c r="X22">
        <f>HYPERLINK("https://klasma.github.io/Logging_1730/tillsyn/A 33243-2021 tillsynsbegäran.docx", "A 33243-2021")</f>
        <v/>
      </c>
      <c r="Y22">
        <f>HYPERLINK("https://klasma.github.io/Logging_1730/tillsynsmail/A 33243-2021 tillsynsbegäran mail.docx", "A 33243-2021")</f>
        <v/>
      </c>
    </row>
    <row r="23" ht="15" customHeight="1">
      <c r="A23" t="inlineStr">
        <is>
          <t>A 48420-2021</t>
        </is>
      </c>
      <c r="B23" s="1" t="n">
        <v>44452</v>
      </c>
      <c r="C23" s="1" t="n">
        <v>45739</v>
      </c>
      <c r="D23" t="inlineStr">
        <is>
          <t>VÄRMLANDS LÄN</t>
        </is>
      </c>
      <c r="E23" t="inlineStr">
        <is>
          <t>EDA</t>
        </is>
      </c>
      <c r="G23" t="n">
        <v>21.7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HYPERLINK("https://klasma.github.io/Logging_1730/artfynd/A 48420-2021 artfynd.xlsx", "A 48420-2021")</f>
        <v/>
      </c>
      <c r="T23">
        <f>HYPERLINK("https://klasma.github.io/Logging_1730/kartor/A 48420-2021 karta.png", "A 48420-2021")</f>
        <v/>
      </c>
      <c r="V23">
        <f>HYPERLINK("https://klasma.github.io/Logging_1730/klagomål/A 48420-2021 FSC-klagomål.docx", "A 48420-2021")</f>
        <v/>
      </c>
      <c r="W23">
        <f>HYPERLINK("https://klasma.github.io/Logging_1730/klagomålsmail/A 48420-2021 FSC-klagomål mail.docx", "A 48420-2021")</f>
        <v/>
      </c>
      <c r="X23">
        <f>HYPERLINK("https://klasma.github.io/Logging_1730/tillsyn/A 48420-2021 tillsynsbegäran.docx", "A 48420-2021")</f>
        <v/>
      </c>
      <c r="Y23">
        <f>HYPERLINK("https://klasma.github.io/Logging_1730/tillsynsmail/A 48420-2021 tillsynsbegäran mail.docx", "A 48420-2021")</f>
        <v/>
      </c>
    </row>
    <row r="24" ht="15" customHeight="1">
      <c r="A24" t="inlineStr">
        <is>
          <t>A 7240-2023</t>
        </is>
      </c>
      <c r="B24" s="1" t="n">
        <v>44970</v>
      </c>
      <c r="C24" s="1" t="n">
        <v>45739</v>
      </c>
      <c r="D24" t="inlineStr">
        <is>
          <t>VÄRMLANDS LÄN</t>
        </is>
      </c>
      <c r="E24" t="inlineStr">
        <is>
          <t>EDA</t>
        </is>
      </c>
      <c r="G24" t="n">
        <v>17.4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Sotriska</t>
        </is>
      </c>
      <c r="S24">
        <f>HYPERLINK("https://klasma.github.io/Logging_1730/artfynd/A 7240-2023 artfynd.xlsx", "A 7240-2023")</f>
        <v/>
      </c>
      <c r="T24">
        <f>HYPERLINK("https://klasma.github.io/Logging_1730/kartor/A 7240-2023 karta.png", "A 7240-2023")</f>
        <v/>
      </c>
      <c r="V24">
        <f>HYPERLINK("https://klasma.github.io/Logging_1730/klagomål/A 7240-2023 FSC-klagomål.docx", "A 7240-2023")</f>
        <v/>
      </c>
      <c r="W24">
        <f>HYPERLINK("https://klasma.github.io/Logging_1730/klagomålsmail/A 7240-2023 FSC-klagomål mail.docx", "A 7240-2023")</f>
        <v/>
      </c>
      <c r="X24">
        <f>HYPERLINK("https://klasma.github.io/Logging_1730/tillsyn/A 7240-2023 tillsynsbegäran.docx", "A 7240-2023")</f>
        <v/>
      </c>
      <c r="Y24">
        <f>HYPERLINK("https://klasma.github.io/Logging_1730/tillsynsmail/A 7240-2023 tillsynsbegäran mail.docx", "A 7240-2023")</f>
        <v/>
      </c>
    </row>
    <row r="25" ht="15" customHeight="1">
      <c r="A25" t="inlineStr">
        <is>
          <t>A 56492-2023</t>
        </is>
      </c>
      <c r="B25" s="1" t="n">
        <v>45243</v>
      </c>
      <c r="C25" s="1" t="n">
        <v>45739</v>
      </c>
      <c r="D25" t="inlineStr">
        <is>
          <t>VÄRMLANDS LÄN</t>
        </is>
      </c>
      <c r="E25" t="inlineStr">
        <is>
          <t>EDA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HYPERLINK("https://klasma.github.io/Logging_1730/artfynd/A 56492-2023 artfynd.xlsx", "A 56492-2023")</f>
        <v/>
      </c>
      <c r="T25">
        <f>HYPERLINK("https://klasma.github.io/Logging_1730/kartor/A 56492-2023 karta.png", "A 56492-2023")</f>
        <v/>
      </c>
      <c r="V25">
        <f>HYPERLINK("https://klasma.github.io/Logging_1730/klagomål/A 56492-2023 FSC-klagomål.docx", "A 56492-2023")</f>
        <v/>
      </c>
      <c r="W25">
        <f>HYPERLINK("https://klasma.github.io/Logging_1730/klagomålsmail/A 56492-2023 FSC-klagomål mail.docx", "A 56492-2023")</f>
        <v/>
      </c>
      <c r="X25">
        <f>HYPERLINK("https://klasma.github.io/Logging_1730/tillsyn/A 56492-2023 tillsynsbegäran.docx", "A 56492-2023")</f>
        <v/>
      </c>
      <c r="Y25">
        <f>HYPERLINK("https://klasma.github.io/Logging_1730/tillsynsmail/A 56492-2023 tillsynsbegäran mail.docx", "A 56492-2023")</f>
        <v/>
      </c>
    </row>
    <row r="26" ht="15" customHeight="1">
      <c r="A26" t="inlineStr">
        <is>
          <t>A 57523-2023</t>
        </is>
      </c>
      <c r="B26" s="1" t="n">
        <v>45246</v>
      </c>
      <c r="C26" s="1" t="n">
        <v>45739</v>
      </c>
      <c r="D26" t="inlineStr">
        <is>
          <t>VÄRMLANDS LÄN</t>
        </is>
      </c>
      <c r="E26" t="inlineStr">
        <is>
          <t>EDA</t>
        </is>
      </c>
      <c r="F26" t="inlineStr">
        <is>
          <t>Bergvik skog väst AB</t>
        </is>
      </c>
      <c r="G26" t="n">
        <v>12.6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HYPERLINK("https://klasma.github.io/Logging_1730/artfynd/A 57523-2023 artfynd.xlsx", "A 57523-2023")</f>
        <v/>
      </c>
      <c r="T26">
        <f>HYPERLINK("https://klasma.github.io/Logging_1730/kartor/A 57523-2023 karta.png", "A 57523-2023")</f>
        <v/>
      </c>
      <c r="V26">
        <f>HYPERLINK("https://klasma.github.io/Logging_1730/klagomål/A 57523-2023 FSC-klagomål.docx", "A 57523-2023")</f>
        <v/>
      </c>
      <c r="W26">
        <f>HYPERLINK("https://klasma.github.io/Logging_1730/klagomålsmail/A 57523-2023 FSC-klagomål mail.docx", "A 57523-2023")</f>
        <v/>
      </c>
      <c r="X26">
        <f>HYPERLINK("https://klasma.github.io/Logging_1730/tillsyn/A 57523-2023 tillsynsbegäran.docx", "A 57523-2023")</f>
        <v/>
      </c>
      <c r="Y26">
        <f>HYPERLINK("https://klasma.github.io/Logging_1730/tillsynsmail/A 57523-2023 tillsynsbegäran mail.docx", "A 57523-2023")</f>
        <v/>
      </c>
      <c r="Z26">
        <f>HYPERLINK("https://klasma.github.io/Logging_1730/fåglar/A 57523-2023 prioriterade fågelarter.docx", "A 57523-2023")</f>
        <v/>
      </c>
    </row>
    <row r="27" ht="15" customHeight="1">
      <c r="A27" t="inlineStr">
        <is>
          <t>A 2383-2024</t>
        </is>
      </c>
      <c r="B27" s="1" t="n">
        <v>45310</v>
      </c>
      <c r="C27" s="1" t="n">
        <v>45739</v>
      </c>
      <c r="D27" t="inlineStr">
        <is>
          <t>VÄRMLANDS LÄN</t>
        </is>
      </c>
      <c r="E27" t="inlineStr">
        <is>
          <t>EDA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HYPERLINK("https://klasma.github.io/Logging_1730/artfynd/A 2383-2024 artfynd.xlsx", "A 2383-2024")</f>
        <v/>
      </c>
      <c r="T27">
        <f>HYPERLINK("https://klasma.github.io/Logging_1730/kartor/A 2383-2024 karta.png", "A 2383-2024")</f>
        <v/>
      </c>
      <c r="U27">
        <f>HYPERLINK("https://klasma.github.io/Logging_1730/knärot/A 2383-2024 karta knärot.png", "A 2383-2024")</f>
        <v/>
      </c>
      <c r="V27">
        <f>HYPERLINK("https://klasma.github.io/Logging_1730/klagomål/A 2383-2024 FSC-klagomål.docx", "A 2383-2024")</f>
        <v/>
      </c>
      <c r="W27">
        <f>HYPERLINK("https://klasma.github.io/Logging_1730/klagomålsmail/A 2383-2024 FSC-klagomål mail.docx", "A 2383-2024")</f>
        <v/>
      </c>
      <c r="X27">
        <f>HYPERLINK("https://klasma.github.io/Logging_1730/tillsyn/A 2383-2024 tillsynsbegäran.docx", "A 2383-2024")</f>
        <v/>
      </c>
      <c r="Y27">
        <f>HYPERLINK("https://klasma.github.io/Logging_1730/tillsynsmail/A 2383-2024 tillsynsbegäran mail.docx", "A 2383-2024")</f>
        <v/>
      </c>
    </row>
    <row r="28" ht="15" customHeight="1">
      <c r="A28" t="inlineStr">
        <is>
          <t>A 11909-2024</t>
        </is>
      </c>
      <c r="B28" s="1" t="n">
        <v>45376</v>
      </c>
      <c r="C28" s="1" t="n">
        <v>45739</v>
      </c>
      <c r="D28" t="inlineStr">
        <is>
          <t>VÄRMLANDS LÄN</t>
        </is>
      </c>
      <c r="E28" t="inlineStr">
        <is>
          <t>EDA</t>
        </is>
      </c>
      <c r="G28" t="n">
        <v>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HYPERLINK("https://klasma.github.io/Logging_1730/artfynd/A 11909-2024 artfynd.xlsx", "A 11909-2024")</f>
        <v/>
      </c>
      <c r="T28">
        <f>HYPERLINK("https://klasma.github.io/Logging_1730/kartor/A 11909-2024 karta.png", "A 11909-2024")</f>
        <v/>
      </c>
      <c r="V28">
        <f>HYPERLINK("https://klasma.github.io/Logging_1730/klagomål/A 11909-2024 FSC-klagomål.docx", "A 11909-2024")</f>
        <v/>
      </c>
      <c r="W28">
        <f>HYPERLINK("https://klasma.github.io/Logging_1730/klagomålsmail/A 11909-2024 FSC-klagomål mail.docx", "A 11909-2024")</f>
        <v/>
      </c>
      <c r="X28">
        <f>HYPERLINK("https://klasma.github.io/Logging_1730/tillsyn/A 11909-2024 tillsynsbegäran.docx", "A 11909-2024")</f>
        <v/>
      </c>
      <c r="Y28">
        <f>HYPERLINK("https://klasma.github.io/Logging_1730/tillsynsmail/A 11909-2024 tillsynsbegäran mail.docx", "A 11909-2024")</f>
        <v/>
      </c>
    </row>
    <row r="29" ht="15" customHeight="1">
      <c r="A29" t="inlineStr">
        <is>
          <t>A 11923-2024</t>
        </is>
      </c>
      <c r="B29" s="1" t="n">
        <v>45376</v>
      </c>
      <c r="C29" s="1" t="n">
        <v>45739</v>
      </c>
      <c r="D29" t="inlineStr">
        <is>
          <t>VÄRMLANDS LÄN</t>
        </is>
      </c>
      <c r="E29" t="inlineStr">
        <is>
          <t>EDA</t>
        </is>
      </c>
      <c r="G29" t="n">
        <v>4.3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HYPERLINK("https://klasma.github.io/Logging_1730/artfynd/A 11923-2024 artfynd.xlsx", "A 11923-2024")</f>
        <v/>
      </c>
      <c r="T29">
        <f>HYPERLINK("https://klasma.github.io/Logging_1730/kartor/A 11923-2024 karta.png", "A 11923-2024")</f>
        <v/>
      </c>
      <c r="V29">
        <f>HYPERLINK("https://klasma.github.io/Logging_1730/klagomål/A 11923-2024 FSC-klagomål.docx", "A 11923-2024")</f>
        <v/>
      </c>
      <c r="W29">
        <f>HYPERLINK("https://klasma.github.io/Logging_1730/klagomålsmail/A 11923-2024 FSC-klagomål mail.docx", "A 11923-2024")</f>
        <v/>
      </c>
      <c r="X29">
        <f>HYPERLINK("https://klasma.github.io/Logging_1730/tillsyn/A 11923-2024 tillsynsbegäran.docx", "A 11923-2024")</f>
        <v/>
      </c>
      <c r="Y29">
        <f>HYPERLINK("https://klasma.github.io/Logging_1730/tillsynsmail/A 11923-2024 tillsynsbegäran mail.docx", "A 11923-2024")</f>
        <v/>
      </c>
      <c r="Z29">
        <f>HYPERLINK("https://klasma.github.io/Logging_1730/fåglar/A 11923-2024 prioriterade fågelarter.docx", "A 11923-2024")</f>
        <v/>
      </c>
    </row>
    <row r="30" ht="15" customHeight="1">
      <c r="A30" t="inlineStr">
        <is>
          <t>A 12465-2024</t>
        </is>
      </c>
      <c r="B30" s="1" t="n">
        <v>45379</v>
      </c>
      <c r="C30" s="1" t="n">
        <v>45739</v>
      </c>
      <c r="D30" t="inlineStr">
        <is>
          <t>VÄRMLANDS LÄN</t>
        </is>
      </c>
      <c r="E30" t="inlineStr">
        <is>
          <t>EDA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Desmeknopp</t>
        </is>
      </c>
      <c r="S30">
        <f>HYPERLINK("https://klasma.github.io/Logging_1730/artfynd/A 12465-2024 artfynd.xlsx", "A 12465-2024")</f>
        <v/>
      </c>
      <c r="T30">
        <f>HYPERLINK("https://klasma.github.io/Logging_1730/kartor/A 12465-2024 karta.png", "A 12465-2024")</f>
        <v/>
      </c>
      <c r="V30">
        <f>HYPERLINK("https://klasma.github.io/Logging_1730/klagomål/A 12465-2024 FSC-klagomål.docx", "A 12465-2024")</f>
        <v/>
      </c>
      <c r="W30">
        <f>HYPERLINK("https://klasma.github.io/Logging_1730/klagomålsmail/A 12465-2024 FSC-klagomål mail.docx", "A 12465-2024")</f>
        <v/>
      </c>
      <c r="X30">
        <f>HYPERLINK("https://klasma.github.io/Logging_1730/tillsyn/A 12465-2024 tillsynsbegäran.docx", "A 12465-2024")</f>
        <v/>
      </c>
      <c r="Y30">
        <f>HYPERLINK("https://klasma.github.io/Logging_1730/tillsynsmail/A 12465-2024 tillsynsbegäran mail.docx", "A 12465-2024")</f>
        <v/>
      </c>
    </row>
    <row r="31" ht="15" customHeight="1">
      <c r="A31" t="inlineStr">
        <is>
          <t>A 34186-2024</t>
        </is>
      </c>
      <c r="B31" s="1" t="n">
        <v>45524</v>
      </c>
      <c r="C31" s="1" t="n">
        <v>45739</v>
      </c>
      <c r="D31" t="inlineStr">
        <is>
          <t>VÄRMLANDS LÄN</t>
        </is>
      </c>
      <c r="E31" t="inlineStr">
        <is>
          <t>EDA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Bårdlav</t>
        </is>
      </c>
      <c r="S31">
        <f>HYPERLINK("https://klasma.github.io/Logging_1730/artfynd/A 34186-2024 artfynd.xlsx", "A 34186-2024")</f>
        <v/>
      </c>
      <c r="T31">
        <f>HYPERLINK("https://klasma.github.io/Logging_1730/kartor/A 34186-2024 karta.png", "A 34186-2024")</f>
        <v/>
      </c>
      <c r="V31">
        <f>HYPERLINK("https://klasma.github.io/Logging_1730/klagomål/A 34186-2024 FSC-klagomål.docx", "A 34186-2024")</f>
        <v/>
      </c>
      <c r="W31">
        <f>HYPERLINK("https://klasma.github.io/Logging_1730/klagomålsmail/A 34186-2024 FSC-klagomål mail.docx", "A 34186-2024")</f>
        <v/>
      </c>
      <c r="X31">
        <f>HYPERLINK("https://klasma.github.io/Logging_1730/tillsyn/A 34186-2024 tillsynsbegäran.docx", "A 34186-2024")</f>
        <v/>
      </c>
      <c r="Y31">
        <f>HYPERLINK("https://klasma.github.io/Logging_1730/tillsynsmail/A 34186-2024 tillsynsbegäran mail.docx", "A 34186-2024")</f>
        <v/>
      </c>
    </row>
    <row r="32" ht="15" customHeight="1">
      <c r="A32" t="inlineStr">
        <is>
          <t>A 18118-2019</t>
        </is>
      </c>
      <c r="B32" s="1" t="n">
        <v>43558</v>
      </c>
      <c r="C32" s="1" t="n">
        <v>45739</v>
      </c>
      <c r="D32" t="inlineStr">
        <is>
          <t>VÄRMLANDS LÄN</t>
        </is>
      </c>
      <c r="E32" t="inlineStr">
        <is>
          <t>EDA</t>
        </is>
      </c>
      <c r="F32" t="inlineStr">
        <is>
          <t>Bergvik skog väst AB</t>
        </is>
      </c>
      <c r="G32" t="n">
        <v>5.7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18508-2019</t>
        </is>
      </c>
      <c r="B33" s="1" t="n">
        <v>43559</v>
      </c>
      <c r="C33" s="1" t="n">
        <v>45739</v>
      </c>
      <c r="D33" t="inlineStr">
        <is>
          <t>VÄRMLANDS LÄN</t>
        </is>
      </c>
      <c r="E33" t="inlineStr">
        <is>
          <t>EDA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18676-2019</t>
        </is>
      </c>
      <c r="B34" s="1" t="n">
        <v>43560</v>
      </c>
      <c r="C34" s="1" t="n">
        <v>45739</v>
      </c>
      <c r="D34" t="inlineStr">
        <is>
          <t>VÄRMLANDS LÄN</t>
        </is>
      </c>
      <c r="E34" t="inlineStr">
        <is>
          <t>EDA</t>
        </is>
      </c>
      <c r="F34" t="inlineStr">
        <is>
          <t>Bergvik skog väst AB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18917-2019</t>
        </is>
      </c>
      <c r="B35" s="1" t="n">
        <v>43563</v>
      </c>
      <c r="C35" s="1" t="n">
        <v>45739</v>
      </c>
      <c r="D35" t="inlineStr">
        <is>
          <t>VÄRMLANDS LÄN</t>
        </is>
      </c>
      <c r="E35" t="inlineStr">
        <is>
          <t>EDA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19438-2019</t>
        </is>
      </c>
      <c r="B36" s="1" t="n">
        <v>43565</v>
      </c>
      <c r="C36" s="1" t="n">
        <v>45739</v>
      </c>
      <c r="D36" t="inlineStr">
        <is>
          <t>VÄRMLANDS LÄN</t>
        </is>
      </c>
      <c r="E36" t="inlineStr">
        <is>
          <t>EDA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20215-2019</t>
        </is>
      </c>
      <c r="B37" s="1" t="n">
        <v>43570</v>
      </c>
      <c r="C37" s="1" t="n">
        <v>45739</v>
      </c>
      <c r="D37" t="inlineStr">
        <is>
          <t>VÄRMLANDS LÄN</t>
        </is>
      </c>
      <c r="E37" t="inlineStr">
        <is>
          <t>EDA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20221-2019</t>
        </is>
      </c>
      <c r="B38" s="1" t="n">
        <v>43570</v>
      </c>
      <c r="C38" s="1" t="n">
        <v>45739</v>
      </c>
      <c r="D38" t="inlineStr">
        <is>
          <t>VÄRMLANDS LÄN</t>
        </is>
      </c>
      <c r="E38" t="inlineStr">
        <is>
          <t>EDA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20451-2019</t>
        </is>
      </c>
      <c r="B39" s="1" t="n">
        <v>43572</v>
      </c>
      <c r="C39" s="1" t="n">
        <v>45739</v>
      </c>
      <c r="D39" t="inlineStr">
        <is>
          <t>VÄRMLANDS LÄN</t>
        </is>
      </c>
      <c r="E39" t="inlineStr">
        <is>
          <t>EDA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20452-2019</t>
        </is>
      </c>
      <c r="B40" s="1" t="n">
        <v>43572</v>
      </c>
      <c r="C40" s="1" t="n">
        <v>45739</v>
      </c>
      <c r="D40" t="inlineStr">
        <is>
          <t>VÄRMLANDS LÄN</t>
        </is>
      </c>
      <c r="E40" t="inlineStr">
        <is>
          <t>EDA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20457-2019</t>
        </is>
      </c>
      <c r="B41" s="1" t="n">
        <v>43572</v>
      </c>
      <c r="C41" s="1" t="n">
        <v>45739</v>
      </c>
      <c r="D41" t="inlineStr">
        <is>
          <t>VÄRMLANDS LÄN</t>
        </is>
      </c>
      <c r="E41" t="inlineStr">
        <is>
          <t>EDA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20691-2019</t>
        </is>
      </c>
      <c r="B42" s="1" t="n">
        <v>43573</v>
      </c>
      <c r="C42" s="1" t="n">
        <v>45739</v>
      </c>
      <c r="D42" t="inlineStr">
        <is>
          <t>VÄRMLANDS LÄN</t>
        </is>
      </c>
      <c r="E42" t="inlineStr">
        <is>
          <t>EDA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21646-2019</t>
        </is>
      </c>
      <c r="B43" s="1" t="n">
        <v>43580</v>
      </c>
      <c r="C43" s="1" t="n">
        <v>45739</v>
      </c>
      <c r="D43" t="inlineStr">
        <is>
          <t>VÄRMLANDS LÄN</t>
        </is>
      </c>
      <c r="E43" t="inlineStr">
        <is>
          <t>EDA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21939-2019</t>
        </is>
      </c>
      <c r="B44" s="1" t="n">
        <v>43584</v>
      </c>
      <c r="C44" s="1" t="n">
        <v>45739</v>
      </c>
      <c r="D44" t="inlineStr">
        <is>
          <t>VÄRMLANDS LÄN</t>
        </is>
      </c>
      <c r="E44" t="inlineStr">
        <is>
          <t>EDA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21938-2019</t>
        </is>
      </c>
      <c r="B45" s="1" t="n">
        <v>43584</v>
      </c>
      <c r="C45" s="1" t="n">
        <v>45739</v>
      </c>
      <c r="D45" t="inlineStr">
        <is>
          <t>VÄRMLANDS LÄN</t>
        </is>
      </c>
      <c r="E45" t="inlineStr">
        <is>
          <t>EDA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22079-2019</t>
        </is>
      </c>
      <c r="B46" s="1" t="n">
        <v>43584</v>
      </c>
      <c r="C46" s="1" t="n">
        <v>45739</v>
      </c>
      <c r="D46" t="inlineStr">
        <is>
          <t>VÄRMLANDS LÄN</t>
        </is>
      </c>
      <c r="E46" t="inlineStr">
        <is>
          <t>EDA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21871-2019</t>
        </is>
      </c>
      <c r="B47" s="1" t="n">
        <v>43584</v>
      </c>
      <c r="C47" s="1" t="n">
        <v>45739</v>
      </c>
      <c r="D47" t="inlineStr">
        <is>
          <t>VÄRMLANDS LÄN</t>
        </is>
      </c>
      <c r="E47" t="inlineStr">
        <is>
          <t>EDA</t>
        </is>
      </c>
      <c r="F47" t="inlineStr">
        <is>
          <t>Bergvik skog väst AB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22773-2019</t>
        </is>
      </c>
      <c r="B48" s="1" t="n">
        <v>43588</v>
      </c>
      <c r="C48" s="1" t="n">
        <v>45739</v>
      </c>
      <c r="D48" t="inlineStr">
        <is>
          <t>VÄRMLANDS LÄN</t>
        </is>
      </c>
      <c r="E48" t="inlineStr">
        <is>
          <t>EDA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22774-2019</t>
        </is>
      </c>
      <c r="B49" s="1" t="n">
        <v>43588</v>
      </c>
      <c r="C49" s="1" t="n">
        <v>45739</v>
      </c>
      <c r="D49" t="inlineStr">
        <is>
          <t>VÄRMLANDS LÄN</t>
        </is>
      </c>
      <c r="E49" t="inlineStr">
        <is>
          <t>EDA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22775-2019</t>
        </is>
      </c>
      <c r="B50" s="1" t="n">
        <v>43588</v>
      </c>
      <c r="C50" s="1" t="n">
        <v>45739</v>
      </c>
      <c r="D50" t="inlineStr">
        <is>
          <t>VÄRMLANDS LÄN</t>
        </is>
      </c>
      <c r="E50" t="inlineStr">
        <is>
          <t>EDA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22795-2019</t>
        </is>
      </c>
      <c r="B51" s="1" t="n">
        <v>43589</v>
      </c>
      <c r="C51" s="1" t="n">
        <v>45739</v>
      </c>
      <c r="D51" t="inlineStr">
        <is>
          <t>VÄRMLANDS LÄN</t>
        </is>
      </c>
      <c r="E51" t="inlineStr">
        <is>
          <t>EDA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22794-2019</t>
        </is>
      </c>
      <c r="B52" s="1" t="n">
        <v>43589</v>
      </c>
      <c r="C52" s="1" t="n">
        <v>45739</v>
      </c>
      <c r="D52" t="inlineStr">
        <is>
          <t>VÄRMLANDS LÄN</t>
        </is>
      </c>
      <c r="E52" t="inlineStr">
        <is>
          <t>EDA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24000-2019</t>
        </is>
      </c>
      <c r="B53" s="1" t="n">
        <v>43598</v>
      </c>
      <c r="C53" s="1" t="n">
        <v>45739</v>
      </c>
      <c r="D53" t="inlineStr">
        <is>
          <t>VÄRMLANDS LÄN</t>
        </is>
      </c>
      <c r="E53" t="inlineStr">
        <is>
          <t>EDA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24412-2019</t>
        </is>
      </c>
      <c r="B54" s="1" t="n">
        <v>43600</v>
      </c>
      <c r="C54" s="1" t="n">
        <v>45739</v>
      </c>
      <c r="D54" t="inlineStr">
        <is>
          <t>VÄRMLANDS LÄN</t>
        </is>
      </c>
      <c r="E54" t="inlineStr">
        <is>
          <t>EDA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25406-2019</t>
        </is>
      </c>
      <c r="B55" s="1" t="n">
        <v>43606</v>
      </c>
      <c r="C55" s="1" t="n">
        <v>45739</v>
      </c>
      <c r="D55" t="inlineStr">
        <is>
          <t>VÄRMLANDS LÄN</t>
        </is>
      </c>
      <c r="E55" t="inlineStr">
        <is>
          <t>EDA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25439-2019</t>
        </is>
      </c>
      <c r="B56" s="1" t="n">
        <v>43606</v>
      </c>
      <c r="C56" s="1" t="n">
        <v>45739</v>
      </c>
      <c r="D56" t="inlineStr">
        <is>
          <t>VÄRMLANDS LÄN</t>
        </is>
      </c>
      <c r="E56" t="inlineStr">
        <is>
          <t>EDA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25884-2019</t>
        </is>
      </c>
      <c r="B57" s="1" t="n">
        <v>43608</v>
      </c>
      <c r="C57" s="1" t="n">
        <v>45739</v>
      </c>
      <c r="D57" t="inlineStr">
        <is>
          <t>VÄRMLANDS LÄN</t>
        </is>
      </c>
      <c r="E57" t="inlineStr">
        <is>
          <t>EDA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26087-2019</t>
        </is>
      </c>
      <c r="B58" s="1" t="n">
        <v>43609</v>
      </c>
      <c r="C58" s="1" t="n">
        <v>45739</v>
      </c>
      <c r="D58" t="inlineStr">
        <is>
          <t>VÄRMLANDS LÄN</t>
        </is>
      </c>
      <c r="E58" t="inlineStr">
        <is>
          <t>EDA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28106-2019</t>
        </is>
      </c>
      <c r="B59" s="1" t="n">
        <v>43621</v>
      </c>
      <c r="C59" s="1" t="n">
        <v>45739</v>
      </c>
      <c r="D59" t="inlineStr">
        <is>
          <t>VÄRMLANDS LÄN</t>
        </is>
      </c>
      <c r="E59" t="inlineStr">
        <is>
          <t>EDA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30535-2019</t>
        </is>
      </c>
      <c r="B60" s="1" t="n">
        <v>43635</v>
      </c>
      <c r="C60" s="1" t="n">
        <v>45739</v>
      </c>
      <c r="D60" t="inlineStr">
        <is>
          <t>VÄRMLANDS LÄN</t>
        </is>
      </c>
      <c r="E60" t="inlineStr">
        <is>
          <t>EDA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33898-2019</t>
        </is>
      </c>
      <c r="B61" s="1" t="n">
        <v>43653</v>
      </c>
      <c r="C61" s="1" t="n">
        <v>45739</v>
      </c>
      <c r="D61" t="inlineStr">
        <is>
          <t>VÄRMLANDS LÄN</t>
        </is>
      </c>
      <c r="E61" t="inlineStr">
        <is>
          <t>EDA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35049-2019</t>
        </is>
      </c>
      <c r="B62" s="1" t="n">
        <v>43661</v>
      </c>
      <c r="C62" s="1" t="n">
        <v>45739</v>
      </c>
      <c r="D62" t="inlineStr">
        <is>
          <t>VÄRMLANDS LÄN</t>
        </is>
      </c>
      <c r="E62" t="inlineStr">
        <is>
          <t>EDA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36111-2019</t>
        </is>
      </c>
      <c r="B63" s="1" t="n">
        <v>43668</v>
      </c>
      <c r="C63" s="1" t="n">
        <v>45739</v>
      </c>
      <c r="D63" t="inlineStr">
        <is>
          <t>VÄRMLANDS LÄN</t>
        </is>
      </c>
      <c r="E63" t="inlineStr">
        <is>
          <t>EDA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36113-2019</t>
        </is>
      </c>
      <c r="B64" s="1" t="n">
        <v>43668</v>
      </c>
      <c r="C64" s="1" t="n">
        <v>45739</v>
      </c>
      <c r="D64" t="inlineStr">
        <is>
          <t>VÄRMLANDS LÄN</t>
        </is>
      </c>
      <c r="E64" t="inlineStr">
        <is>
          <t>EDA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36116-2019</t>
        </is>
      </c>
      <c r="B65" s="1" t="n">
        <v>43668</v>
      </c>
      <c r="C65" s="1" t="n">
        <v>45739</v>
      </c>
      <c r="D65" t="inlineStr">
        <is>
          <t>VÄRMLANDS LÄN</t>
        </is>
      </c>
      <c r="E65" t="inlineStr">
        <is>
          <t>EDA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36650-2019</t>
        </is>
      </c>
      <c r="B66" s="1" t="n">
        <v>43671</v>
      </c>
      <c r="C66" s="1" t="n">
        <v>45739</v>
      </c>
      <c r="D66" t="inlineStr">
        <is>
          <t>VÄRMLANDS LÄN</t>
        </is>
      </c>
      <c r="E66" t="inlineStr">
        <is>
          <t>EDA</t>
        </is>
      </c>
      <c r="F66" t="inlineStr">
        <is>
          <t>Övriga Aktiebolag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36657-2019</t>
        </is>
      </c>
      <c r="B67" s="1" t="n">
        <v>43671</v>
      </c>
      <c r="C67" s="1" t="n">
        <v>45739</v>
      </c>
      <c r="D67" t="inlineStr">
        <is>
          <t>VÄRMLANDS LÄN</t>
        </is>
      </c>
      <c r="E67" t="inlineStr">
        <is>
          <t>EDA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37992-2019</t>
        </is>
      </c>
      <c r="B68" s="1" t="n">
        <v>43683</v>
      </c>
      <c r="C68" s="1" t="n">
        <v>45739</v>
      </c>
      <c r="D68" t="inlineStr">
        <is>
          <t>VÄRMLANDS LÄN</t>
        </is>
      </c>
      <c r="E68" t="inlineStr">
        <is>
          <t>EDA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38393-2019</t>
        </is>
      </c>
      <c r="B69" s="1" t="n">
        <v>43685</v>
      </c>
      <c r="C69" s="1" t="n">
        <v>45739</v>
      </c>
      <c r="D69" t="inlineStr">
        <is>
          <t>VÄRMLANDS LÄN</t>
        </is>
      </c>
      <c r="E69" t="inlineStr">
        <is>
          <t>EDA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38423-2019</t>
        </is>
      </c>
      <c r="B70" s="1" t="n">
        <v>43685</v>
      </c>
      <c r="C70" s="1" t="n">
        <v>45739</v>
      </c>
      <c r="D70" t="inlineStr">
        <is>
          <t>VÄRMLANDS LÄN</t>
        </is>
      </c>
      <c r="E70" t="inlineStr">
        <is>
          <t>EDA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38445-2019</t>
        </is>
      </c>
      <c r="B71" s="1" t="n">
        <v>43685</v>
      </c>
      <c r="C71" s="1" t="n">
        <v>45739</v>
      </c>
      <c r="D71" t="inlineStr">
        <is>
          <t>VÄRMLANDS LÄN</t>
        </is>
      </c>
      <c r="E71" t="inlineStr">
        <is>
          <t>EDA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38490-2019</t>
        </is>
      </c>
      <c r="B72" s="1" t="n">
        <v>43685</v>
      </c>
      <c r="C72" s="1" t="n">
        <v>45739</v>
      </c>
      <c r="D72" t="inlineStr">
        <is>
          <t>VÄRMLANDS LÄN</t>
        </is>
      </c>
      <c r="E72" t="inlineStr">
        <is>
          <t>EDA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38794-2019</t>
        </is>
      </c>
      <c r="B73" s="1" t="n">
        <v>43688</v>
      </c>
      <c r="C73" s="1" t="n">
        <v>45739</v>
      </c>
      <c r="D73" t="inlineStr">
        <is>
          <t>VÄRMLANDS LÄN</t>
        </is>
      </c>
      <c r="E73" t="inlineStr">
        <is>
          <t>EDA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38793-2019</t>
        </is>
      </c>
      <c r="B74" s="1" t="n">
        <v>43688</v>
      </c>
      <c r="C74" s="1" t="n">
        <v>45739</v>
      </c>
      <c r="D74" t="inlineStr">
        <is>
          <t>VÄRMLANDS LÄN</t>
        </is>
      </c>
      <c r="E74" t="inlineStr">
        <is>
          <t>EDA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39383-2019</t>
        </is>
      </c>
      <c r="B75" s="1" t="n">
        <v>43690</v>
      </c>
      <c r="C75" s="1" t="n">
        <v>45739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39381-2019</t>
        </is>
      </c>
      <c r="B76" s="1" t="n">
        <v>43690</v>
      </c>
      <c r="C76" s="1" t="n">
        <v>45739</v>
      </c>
      <c r="D76" t="inlineStr">
        <is>
          <t>VÄRMLANDS LÄN</t>
        </is>
      </c>
      <c r="E76" t="inlineStr">
        <is>
          <t>EDA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39384-2019</t>
        </is>
      </c>
      <c r="B77" s="1" t="n">
        <v>43690</v>
      </c>
      <c r="C77" s="1" t="n">
        <v>45739</v>
      </c>
      <c r="D77" t="inlineStr">
        <is>
          <t>VÄRMLANDS LÄN</t>
        </is>
      </c>
      <c r="E77" t="inlineStr">
        <is>
          <t>EDA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39379-2019</t>
        </is>
      </c>
      <c r="B78" s="1" t="n">
        <v>43690</v>
      </c>
      <c r="C78" s="1" t="n">
        <v>45739</v>
      </c>
      <c r="D78" t="inlineStr">
        <is>
          <t>VÄRMLANDS LÄN</t>
        </is>
      </c>
      <c r="E78" t="inlineStr">
        <is>
          <t>EDA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39607-2019</t>
        </is>
      </c>
      <c r="B79" s="1" t="n">
        <v>43691</v>
      </c>
      <c r="C79" s="1" t="n">
        <v>45739</v>
      </c>
      <c r="D79" t="inlineStr">
        <is>
          <t>VÄRMLANDS LÄN</t>
        </is>
      </c>
      <c r="E79" t="inlineStr">
        <is>
          <t>EDA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41110-2019</t>
        </is>
      </c>
      <c r="B80" s="1" t="n">
        <v>43691</v>
      </c>
      <c r="C80" s="1" t="n">
        <v>45739</v>
      </c>
      <c r="D80" t="inlineStr">
        <is>
          <t>VÄRMLANDS LÄN</t>
        </is>
      </c>
      <c r="E80" t="inlineStr">
        <is>
          <t>EDA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39949-2019</t>
        </is>
      </c>
      <c r="B81" s="1" t="n">
        <v>43692</v>
      </c>
      <c r="C81" s="1" t="n">
        <v>45739</v>
      </c>
      <c r="D81" t="inlineStr">
        <is>
          <t>VÄRMLANDS LÄN</t>
        </is>
      </c>
      <c r="E81" t="inlineStr">
        <is>
          <t>EDA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42367-2019</t>
        </is>
      </c>
      <c r="B82" s="1" t="n">
        <v>43703</v>
      </c>
      <c r="C82" s="1" t="n">
        <v>45739</v>
      </c>
      <c r="D82" t="inlineStr">
        <is>
          <t>VÄRMLANDS LÄN</t>
        </is>
      </c>
      <c r="E82" t="inlineStr">
        <is>
          <t>EDA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43451-2019</t>
        </is>
      </c>
      <c r="B83" s="1" t="n">
        <v>43703</v>
      </c>
      <c r="C83" s="1" t="n">
        <v>45739</v>
      </c>
      <c r="D83" t="inlineStr">
        <is>
          <t>VÄRMLANDS LÄN</t>
        </is>
      </c>
      <c r="E83" t="inlineStr">
        <is>
          <t>EDA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42660-2019</t>
        </is>
      </c>
      <c r="B84" s="1" t="n">
        <v>43704</v>
      </c>
      <c r="C84" s="1" t="n">
        <v>45739</v>
      </c>
      <c r="D84" t="inlineStr">
        <is>
          <t>VÄRMLANDS LÄN</t>
        </is>
      </c>
      <c r="E84" t="inlineStr">
        <is>
          <t>EDA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44381-2019</t>
        </is>
      </c>
      <c r="B85" s="1" t="n">
        <v>43705</v>
      </c>
      <c r="C85" s="1" t="n">
        <v>45739</v>
      </c>
      <c r="D85" t="inlineStr">
        <is>
          <t>VÄRMLANDS LÄN</t>
        </is>
      </c>
      <c r="E85" t="inlineStr">
        <is>
          <t>EDA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44197-2019</t>
        </is>
      </c>
      <c r="B86" s="1" t="n">
        <v>43710</v>
      </c>
      <c r="C86" s="1" t="n">
        <v>45739</v>
      </c>
      <c r="D86" t="inlineStr">
        <is>
          <t>VÄRMLANDS LÄN</t>
        </is>
      </c>
      <c r="E86" t="inlineStr">
        <is>
          <t>EDA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45072-2019</t>
        </is>
      </c>
      <c r="B87" s="1" t="n">
        <v>43713</v>
      </c>
      <c r="C87" s="1" t="n">
        <v>45739</v>
      </c>
      <c r="D87" t="inlineStr">
        <is>
          <t>VÄRMLANDS LÄN</t>
        </is>
      </c>
      <c r="E87" t="inlineStr">
        <is>
          <t>EDA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45634-2019</t>
        </is>
      </c>
      <c r="B88" s="1" t="n">
        <v>43717</v>
      </c>
      <c r="C88" s="1" t="n">
        <v>45739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45657-2019</t>
        </is>
      </c>
      <c r="B89" s="1" t="n">
        <v>43717</v>
      </c>
      <c r="C89" s="1" t="n">
        <v>45739</v>
      </c>
      <c r="D89" t="inlineStr">
        <is>
          <t>VÄRMLANDS LÄN</t>
        </is>
      </c>
      <c r="E89" t="inlineStr">
        <is>
          <t>EDA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46215-2019</t>
        </is>
      </c>
      <c r="B90" s="1" t="n">
        <v>43718</v>
      </c>
      <c r="C90" s="1" t="n">
        <v>45739</v>
      </c>
      <c r="D90" t="inlineStr">
        <is>
          <t>VÄRMLANDS LÄN</t>
        </is>
      </c>
      <c r="E90" t="inlineStr">
        <is>
          <t>EDA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46003-2019</t>
        </is>
      </c>
      <c r="B91" s="1" t="n">
        <v>43718</v>
      </c>
      <c r="C91" s="1" t="n">
        <v>45739</v>
      </c>
      <c r="D91" t="inlineStr">
        <is>
          <t>VÄRMLANDS LÄN</t>
        </is>
      </c>
      <c r="E91" t="inlineStr">
        <is>
          <t>EDA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47581-2019</t>
        </is>
      </c>
      <c r="B92" s="1" t="n">
        <v>43724</v>
      </c>
      <c r="C92" s="1" t="n">
        <v>45739</v>
      </c>
      <c r="D92" t="inlineStr">
        <is>
          <t>VÄRMLANDS LÄN</t>
        </is>
      </c>
      <c r="E92" t="inlineStr">
        <is>
          <t>EDA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47828-2019</t>
        </is>
      </c>
      <c r="B93" s="1" t="n">
        <v>43725</v>
      </c>
      <c r="C93" s="1" t="n">
        <v>45739</v>
      </c>
      <c r="D93" t="inlineStr">
        <is>
          <t>VÄRMLANDS LÄN</t>
        </is>
      </c>
      <c r="E93" t="inlineStr">
        <is>
          <t>EDA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47840-2019</t>
        </is>
      </c>
      <c r="B94" s="1" t="n">
        <v>43725</v>
      </c>
      <c r="C94" s="1" t="n">
        <v>45739</v>
      </c>
      <c r="D94" t="inlineStr">
        <is>
          <t>VÄRMLANDS LÄN</t>
        </is>
      </c>
      <c r="E94" t="inlineStr">
        <is>
          <t>EDA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47951-2019</t>
        </is>
      </c>
      <c r="B95" s="1" t="n">
        <v>43725</v>
      </c>
      <c r="C95" s="1" t="n">
        <v>45739</v>
      </c>
      <c r="D95" t="inlineStr">
        <is>
          <t>VÄRMLANDS LÄN</t>
        </is>
      </c>
      <c r="E95" t="inlineStr">
        <is>
          <t>EDA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51082-2019</t>
        </is>
      </c>
      <c r="B96" s="1" t="n">
        <v>43739</v>
      </c>
      <c r="C96" s="1" t="n">
        <v>45739</v>
      </c>
      <c r="D96" t="inlineStr">
        <is>
          <t>VÄRMLANDS LÄN</t>
        </is>
      </c>
      <c r="E96" t="inlineStr">
        <is>
          <t>EDA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53147-2019</t>
        </is>
      </c>
      <c r="B97" s="1" t="n">
        <v>43747</v>
      </c>
      <c r="C97" s="1" t="n">
        <v>45739</v>
      </c>
      <c r="D97" t="inlineStr">
        <is>
          <t>VÄRMLANDS LÄN</t>
        </is>
      </c>
      <c r="E97" t="inlineStr">
        <is>
          <t>EDA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54913-2019</t>
        </is>
      </c>
      <c r="B98" s="1" t="n">
        <v>43755</v>
      </c>
      <c r="C98" s="1" t="n">
        <v>45739</v>
      </c>
      <c r="D98" t="inlineStr">
        <is>
          <t>VÄRMLANDS LÄN</t>
        </is>
      </c>
      <c r="E98" t="inlineStr">
        <is>
          <t>EDA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54915-2019</t>
        </is>
      </c>
      <c r="B99" s="1" t="n">
        <v>43755</v>
      </c>
      <c r="C99" s="1" t="n">
        <v>45739</v>
      </c>
      <c r="D99" t="inlineStr">
        <is>
          <t>VÄRMLANDS LÄN</t>
        </is>
      </c>
      <c r="E99" t="inlineStr">
        <is>
          <t>EDA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54918-2019</t>
        </is>
      </c>
      <c r="B100" s="1" t="n">
        <v>43755</v>
      </c>
      <c r="C100" s="1" t="n">
        <v>45739</v>
      </c>
      <c r="D100" t="inlineStr">
        <is>
          <t>VÄRMLANDS LÄN</t>
        </is>
      </c>
      <c r="E100" t="inlineStr">
        <is>
          <t>EDA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57771-2019</t>
        </is>
      </c>
      <c r="B101" s="1" t="n">
        <v>43761</v>
      </c>
      <c r="C101" s="1" t="n">
        <v>45739</v>
      </c>
      <c r="D101" t="inlineStr">
        <is>
          <t>VÄRMLANDS LÄN</t>
        </is>
      </c>
      <c r="E101" t="inlineStr">
        <is>
          <t>EDA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56206-2019</t>
        </is>
      </c>
      <c r="B102" s="1" t="n">
        <v>43762</v>
      </c>
      <c r="C102" s="1" t="n">
        <v>45739</v>
      </c>
      <c r="D102" t="inlineStr">
        <is>
          <t>VÄRMLANDS LÄN</t>
        </is>
      </c>
      <c r="E102" t="inlineStr">
        <is>
          <t>EDA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56709-2019</t>
        </is>
      </c>
      <c r="B103" s="1" t="n">
        <v>43763</v>
      </c>
      <c r="C103" s="1" t="n">
        <v>45739</v>
      </c>
      <c r="D103" t="inlineStr">
        <is>
          <t>VÄRMLANDS LÄN</t>
        </is>
      </c>
      <c r="E103" t="inlineStr">
        <is>
          <t>EDA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57788-2019</t>
        </is>
      </c>
      <c r="B104" s="1" t="n">
        <v>43763</v>
      </c>
      <c r="C104" s="1" t="n">
        <v>45739</v>
      </c>
      <c r="D104" t="inlineStr">
        <is>
          <t>VÄRMLANDS LÄN</t>
        </is>
      </c>
      <c r="E104" t="inlineStr">
        <is>
          <t>EDA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57790-2019</t>
        </is>
      </c>
      <c r="B105" s="1" t="n">
        <v>43763</v>
      </c>
      <c r="C105" s="1" t="n">
        <v>45739</v>
      </c>
      <c r="D105" t="inlineStr">
        <is>
          <t>VÄRMLANDS LÄN</t>
        </is>
      </c>
      <c r="E105" t="inlineStr">
        <is>
          <t>EDA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56851-2019</t>
        </is>
      </c>
      <c r="B106" s="1" t="n">
        <v>43766</v>
      </c>
      <c r="C106" s="1" t="n">
        <v>45739</v>
      </c>
      <c r="D106" t="inlineStr">
        <is>
          <t>VÄRMLANDS LÄN</t>
        </is>
      </c>
      <c r="E106" t="inlineStr">
        <is>
          <t>EDA</t>
        </is>
      </c>
      <c r="G106" t="n">
        <v>15.4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56914-2019</t>
        </is>
      </c>
      <c r="B107" s="1" t="n">
        <v>43766</v>
      </c>
      <c r="C107" s="1" t="n">
        <v>45739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58705-2019</t>
        </is>
      </c>
      <c r="B108" s="1" t="n">
        <v>43768</v>
      </c>
      <c r="C108" s="1" t="n">
        <v>45739</v>
      </c>
      <c r="D108" t="inlineStr">
        <is>
          <t>VÄRMLANDS LÄN</t>
        </is>
      </c>
      <c r="E108" t="inlineStr">
        <is>
          <t>EDA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58709-2019</t>
        </is>
      </c>
      <c r="B109" s="1" t="n">
        <v>43768</v>
      </c>
      <c r="C109" s="1" t="n">
        <v>45739</v>
      </c>
      <c r="D109" t="inlineStr">
        <is>
          <t>VÄRMLANDS LÄN</t>
        </is>
      </c>
      <c r="E109" t="inlineStr">
        <is>
          <t>EDA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57632-2019</t>
        </is>
      </c>
      <c r="B110" s="1" t="n">
        <v>43768</v>
      </c>
      <c r="C110" s="1" t="n">
        <v>45739</v>
      </c>
      <c r="D110" t="inlineStr">
        <is>
          <t>VÄRMLANDS LÄN</t>
        </is>
      </c>
      <c r="E110" t="inlineStr">
        <is>
          <t>EDA</t>
        </is>
      </c>
      <c r="G110" t="n">
        <v>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58055-2019</t>
        </is>
      </c>
      <c r="B111" s="1" t="n">
        <v>43769</v>
      </c>
      <c r="C111" s="1" t="n">
        <v>45739</v>
      </c>
      <c r="D111" t="inlineStr">
        <is>
          <t>VÄRMLANDS LÄN</t>
        </is>
      </c>
      <c r="E111" t="inlineStr">
        <is>
          <t>EDA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58306-2019</t>
        </is>
      </c>
      <c r="B112" s="1" t="n">
        <v>43770</v>
      </c>
      <c r="C112" s="1" t="n">
        <v>45739</v>
      </c>
      <c r="D112" t="inlineStr">
        <is>
          <t>VÄRMLANDS LÄN</t>
        </is>
      </c>
      <c r="E112" t="inlineStr">
        <is>
          <t>EDA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58299-2019</t>
        </is>
      </c>
      <c r="B113" s="1" t="n">
        <v>43770</v>
      </c>
      <c r="C113" s="1" t="n">
        <v>45739</v>
      </c>
      <c r="D113" t="inlineStr">
        <is>
          <t>VÄRMLANDS LÄN</t>
        </is>
      </c>
      <c r="E113" t="inlineStr">
        <is>
          <t>EDA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58309-2019</t>
        </is>
      </c>
      <c r="B114" s="1" t="n">
        <v>43770</v>
      </c>
      <c r="C114" s="1" t="n">
        <v>45739</v>
      </c>
      <c r="D114" t="inlineStr">
        <is>
          <t>VÄRMLANDS LÄN</t>
        </is>
      </c>
      <c r="E114" t="inlineStr">
        <is>
          <t>EDA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58302-2019</t>
        </is>
      </c>
      <c r="B115" s="1" t="n">
        <v>43770</v>
      </c>
      <c r="C115" s="1" t="n">
        <v>45739</v>
      </c>
      <c r="D115" t="inlineStr">
        <is>
          <t>VÄRMLANDS LÄN</t>
        </is>
      </c>
      <c r="E115" t="inlineStr">
        <is>
          <t>EDA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58392-2019</t>
        </is>
      </c>
      <c r="B116" s="1" t="n">
        <v>43772</v>
      </c>
      <c r="C116" s="1" t="n">
        <v>45739</v>
      </c>
      <c r="D116" t="inlineStr">
        <is>
          <t>VÄRMLANDS LÄN</t>
        </is>
      </c>
      <c r="E116" t="inlineStr">
        <is>
          <t>EDA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59048-2019</t>
        </is>
      </c>
      <c r="B117" s="1" t="n">
        <v>43774</v>
      </c>
      <c r="C117" s="1" t="n">
        <v>45739</v>
      </c>
      <c r="D117" t="inlineStr">
        <is>
          <t>VÄRMLANDS LÄN</t>
        </is>
      </c>
      <c r="E117" t="inlineStr">
        <is>
          <t>EDA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60047-2019</t>
        </is>
      </c>
      <c r="B118" s="1" t="n">
        <v>43777</v>
      </c>
      <c r="C118" s="1" t="n">
        <v>45739</v>
      </c>
      <c r="D118" t="inlineStr">
        <is>
          <t>VÄRMLANDS LÄN</t>
        </is>
      </c>
      <c r="E118" t="inlineStr">
        <is>
          <t>EDA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60623-2019</t>
        </is>
      </c>
      <c r="B119" s="1" t="n">
        <v>43777</v>
      </c>
      <c r="C119" s="1" t="n">
        <v>45739</v>
      </c>
      <c r="D119" t="inlineStr">
        <is>
          <t>VÄRMLANDS LÄN</t>
        </is>
      </c>
      <c r="E119" t="inlineStr">
        <is>
          <t>EDA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61598-2019</t>
        </is>
      </c>
      <c r="B120" s="1" t="n">
        <v>43784</v>
      </c>
      <c r="C120" s="1" t="n">
        <v>45739</v>
      </c>
      <c r="D120" t="inlineStr">
        <is>
          <t>VÄRMLANDS LÄN</t>
        </is>
      </c>
      <c r="E120" t="inlineStr">
        <is>
          <t>EDA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61730-2019</t>
        </is>
      </c>
      <c r="B121" s="1" t="n">
        <v>43784</v>
      </c>
      <c r="C121" s="1" t="n">
        <v>45739</v>
      </c>
      <c r="D121" t="inlineStr">
        <is>
          <t>VÄRMLANDS LÄN</t>
        </is>
      </c>
      <c r="E121" t="inlineStr">
        <is>
          <t>EDA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61952-2019</t>
        </is>
      </c>
      <c r="B122" s="1" t="n">
        <v>43787</v>
      </c>
      <c r="C122" s="1" t="n">
        <v>45739</v>
      </c>
      <c r="D122" t="inlineStr">
        <is>
          <t>VÄRMLANDS LÄN</t>
        </is>
      </c>
      <c r="E122" t="inlineStr">
        <is>
          <t>EDA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62697-2019</t>
        </is>
      </c>
      <c r="B123" s="1" t="n">
        <v>43789</v>
      </c>
      <c r="C123" s="1" t="n">
        <v>45739</v>
      </c>
      <c r="D123" t="inlineStr">
        <is>
          <t>VÄRMLANDS LÄN</t>
        </is>
      </c>
      <c r="E123" t="inlineStr">
        <is>
          <t>EDA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62741-2019</t>
        </is>
      </c>
      <c r="B124" s="1" t="n">
        <v>43790</v>
      </c>
      <c r="C124" s="1" t="n">
        <v>45739</v>
      </c>
      <c r="D124" t="inlineStr">
        <is>
          <t>VÄRMLANDS LÄN</t>
        </is>
      </c>
      <c r="E124" t="inlineStr">
        <is>
          <t>EDA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63388-2019</t>
        </is>
      </c>
      <c r="B125" s="1" t="n">
        <v>43794</v>
      </c>
      <c r="C125" s="1" t="n">
        <v>45739</v>
      </c>
      <c r="D125" t="inlineStr">
        <is>
          <t>VÄRMLANDS LÄN</t>
        </is>
      </c>
      <c r="E125" t="inlineStr">
        <is>
          <t>EDA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63812-2019</t>
        </is>
      </c>
      <c r="B126" s="1" t="n">
        <v>43795</v>
      </c>
      <c r="C126" s="1" t="n">
        <v>45739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63815-2019</t>
        </is>
      </c>
      <c r="B127" s="1" t="n">
        <v>43795</v>
      </c>
      <c r="C127" s="1" t="n">
        <v>45739</v>
      </c>
      <c r="D127" t="inlineStr">
        <is>
          <t>VÄRMLANDS LÄN</t>
        </is>
      </c>
      <c r="E127" t="inlineStr">
        <is>
          <t>EDA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66749-2019</t>
        </is>
      </c>
      <c r="B128" s="1" t="n">
        <v>43810</v>
      </c>
      <c r="C128" s="1" t="n">
        <v>45739</v>
      </c>
      <c r="D128" t="inlineStr">
        <is>
          <t>VÄRMLANDS LÄN</t>
        </is>
      </c>
      <c r="E128" t="inlineStr">
        <is>
          <t>EDA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67091-2019</t>
        </is>
      </c>
      <c r="B129" s="1" t="n">
        <v>43811</v>
      </c>
      <c r="C129" s="1" t="n">
        <v>45739</v>
      </c>
      <c r="D129" t="inlineStr">
        <is>
          <t>VÄRMLANDS LÄN</t>
        </is>
      </c>
      <c r="E129" t="inlineStr">
        <is>
          <t>EDA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67124-2019</t>
        </is>
      </c>
      <c r="B130" s="1" t="n">
        <v>43811</v>
      </c>
      <c r="C130" s="1" t="n">
        <v>45739</v>
      </c>
      <c r="D130" t="inlineStr">
        <is>
          <t>VÄRMLANDS LÄN</t>
        </is>
      </c>
      <c r="E130" t="inlineStr">
        <is>
          <t>EDA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67045-2019</t>
        </is>
      </c>
      <c r="B131" s="1" t="n">
        <v>43811</v>
      </c>
      <c r="C131" s="1" t="n">
        <v>45739</v>
      </c>
      <c r="D131" t="inlineStr">
        <is>
          <t>VÄRMLANDS LÄN</t>
        </is>
      </c>
      <c r="E131" t="inlineStr">
        <is>
          <t>EDA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67062-2019</t>
        </is>
      </c>
      <c r="B132" s="1" t="n">
        <v>43811</v>
      </c>
      <c r="C132" s="1" t="n">
        <v>45739</v>
      </c>
      <c r="D132" t="inlineStr">
        <is>
          <t>VÄRMLANDS LÄN</t>
        </is>
      </c>
      <c r="E132" t="inlineStr">
        <is>
          <t>EDA</t>
        </is>
      </c>
      <c r="G132" t="n">
        <v>11.1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67583-2019</t>
        </is>
      </c>
      <c r="B133" s="1" t="n">
        <v>43815</v>
      </c>
      <c r="C133" s="1" t="n">
        <v>45739</v>
      </c>
      <c r="D133" t="inlineStr">
        <is>
          <t>VÄRMLANDS LÄN</t>
        </is>
      </c>
      <c r="E133" t="inlineStr">
        <is>
          <t>EDA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68786-2019</t>
        </is>
      </c>
      <c r="B134" s="1" t="n">
        <v>43815</v>
      </c>
      <c r="C134" s="1" t="n">
        <v>45739</v>
      </c>
      <c r="D134" t="inlineStr">
        <is>
          <t>VÄRMLANDS LÄN</t>
        </is>
      </c>
      <c r="E134" t="inlineStr">
        <is>
          <t>EDA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68631-2019</t>
        </is>
      </c>
      <c r="B135" s="1" t="n">
        <v>43819</v>
      </c>
      <c r="C135" s="1" t="n">
        <v>45739</v>
      </c>
      <c r="D135" t="inlineStr">
        <is>
          <t>VÄRMLANDS LÄN</t>
        </is>
      </c>
      <c r="E135" t="inlineStr">
        <is>
          <t>EDA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68635-2019</t>
        </is>
      </c>
      <c r="B136" s="1" t="n">
        <v>43819</v>
      </c>
      <c r="C136" s="1" t="n">
        <v>45739</v>
      </c>
      <c r="D136" t="inlineStr">
        <is>
          <t>VÄRMLANDS LÄN</t>
        </is>
      </c>
      <c r="E136" t="inlineStr">
        <is>
          <t>EDA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69037-2019</t>
        </is>
      </c>
      <c r="B137" s="1" t="n">
        <v>43826</v>
      </c>
      <c r="C137" s="1" t="n">
        <v>45739</v>
      </c>
      <c r="D137" t="inlineStr">
        <is>
          <t>VÄRMLANDS LÄN</t>
        </is>
      </c>
      <c r="E137" t="inlineStr">
        <is>
          <t>EDA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69036-2019</t>
        </is>
      </c>
      <c r="B138" s="1" t="n">
        <v>43826</v>
      </c>
      <c r="C138" s="1" t="n">
        <v>45739</v>
      </c>
      <c r="D138" t="inlineStr">
        <is>
          <t>VÄRMLANDS LÄN</t>
        </is>
      </c>
      <c r="E138" t="inlineStr">
        <is>
          <t>EDA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137-2020</t>
        </is>
      </c>
      <c r="B139" s="1" t="n">
        <v>43833</v>
      </c>
      <c r="C139" s="1" t="n">
        <v>45739</v>
      </c>
      <c r="D139" t="inlineStr">
        <is>
          <t>VÄRMLANDS LÄN</t>
        </is>
      </c>
      <c r="E139" t="inlineStr">
        <is>
          <t>EDA</t>
        </is>
      </c>
      <c r="F139" t="inlineStr">
        <is>
          <t>Övriga Aktiebolag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1939-2020</t>
        </is>
      </c>
      <c r="B140" s="1" t="n">
        <v>43838</v>
      </c>
      <c r="C140" s="1" t="n">
        <v>45739</v>
      </c>
      <c r="D140" t="inlineStr">
        <is>
          <t>VÄRMLANDS LÄN</t>
        </is>
      </c>
      <c r="E140" t="inlineStr">
        <is>
          <t>EDA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1100-2020</t>
        </is>
      </c>
      <c r="B141" s="1" t="n">
        <v>43840</v>
      </c>
      <c r="C141" s="1" t="n">
        <v>45739</v>
      </c>
      <c r="D141" t="inlineStr">
        <is>
          <t>VÄRMLANDS LÄN</t>
        </is>
      </c>
      <c r="E141" t="inlineStr">
        <is>
          <t>EDA</t>
        </is>
      </c>
      <c r="F141" t="inlineStr">
        <is>
          <t>Övriga Aktiebolag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1214-2020</t>
        </is>
      </c>
      <c r="B142" s="1" t="n">
        <v>43840</v>
      </c>
      <c r="C142" s="1" t="n">
        <v>45739</v>
      </c>
      <c r="D142" t="inlineStr">
        <is>
          <t>VÄRMLANDS LÄN</t>
        </is>
      </c>
      <c r="E142" t="inlineStr">
        <is>
          <t>EDA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1322-2020</t>
        </is>
      </c>
      <c r="B143" s="1" t="n">
        <v>43843</v>
      </c>
      <c r="C143" s="1" t="n">
        <v>45739</v>
      </c>
      <c r="D143" t="inlineStr">
        <is>
          <t>VÄRMLANDS LÄN</t>
        </is>
      </c>
      <c r="E143" t="inlineStr">
        <is>
          <t>EDA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2857-2020</t>
        </is>
      </c>
      <c r="B144" s="1" t="n">
        <v>43843</v>
      </c>
      <c r="C144" s="1" t="n">
        <v>45739</v>
      </c>
      <c r="D144" t="inlineStr">
        <is>
          <t>VÄRMLANDS LÄN</t>
        </is>
      </c>
      <c r="E144" t="inlineStr">
        <is>
          <t>EDA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2873-2020</t>
        </is>
      </c>
      <c r="B145" s="1" t="n">
        <v>43843</v>
      </c>
      <c r="C145" s="1" t="n">
        <v>45739</v>
      </c>
      <c r="D145" t="inlineStr">
        <is>
          <t>VÄRMLANDS LÄN</t>
        </is>
      </c>
      <c r="E145" t="inlineStr">
        <is>
          <t>EDA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1631-2020</t>
        </is>
      </c>
      <c r="B146" s="1" t="n">
        <v>43844</v>
      </c>
      <c r="C146" s="1" t="n">
        <v>45739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1625-2020</t>
        </is>
      </c>
      <c r="B147" s="1" t="n">
        <v>43844</v>
      </c>
      <c r="C147" s="1" t="n">
        <v>45739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2717-2020</t>
        </is>
      </c>
      <c r="B148" s="1" t="n">
        <v>43850</v>
      </c>
      <c r="C148" s="1" t="n">
        <v>45739</v>
      </c>
      <c r="D148" t="inlineStr">
        <is>
          <t>VÄRMLANDS LÄN</t>
        </is>
      </c>
      <c r="E148" t="inlineStr">
        <is>
          <t>EDA</t>
        </is>
      </c>
      <c r="F148" t="inlineStr">
        <is>
          <t>Övriga Aktiebolag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4114-2020</t>
        </is>
      </c>
      <c r="B149" s="1" t="n">
        <v>43857</v>
      </c>
      <c r="C149" s="1" t="n">
        <v>45739</v>
      </c>
      <c r="D149" t="inlineStr">
        <is>
          <t>VÄRMLANDS LÄN</t>
        </is>
      </c>
      <c r="E149" t="inlineStr">
        <is>
          <t>EDA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4661-2020</t>
        </is>
      </c>
      <c r="B150" s="1" t="n">
        <v>43858</v>
      </c>
      <c r="C150" s="1" t="n">
        <v>45739</v>
      </c>
      <c r="D150" t="inlineStr">
        <is>
          <t>VÄRMLANDS LÄN</t>
        </is>
      </c>
      <c r="E150" t="inlineStr">
        <is>
          <t>EDA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6591-2020</t>
        </is>
      </c>
      <c r="B151" s="1" t="n">
        <v>43867</v>
      </c>
      <c r="C151" s="1" t="n">
        <v>45739</v>
      </c>
      <c r="D151" t="inlineStr">
        <is>
          <t>VÄRMLANDS LÄN</t>
        </is>
      </c>
      <c r="E151" t="inlineStr">
        <is>
          <t>EDA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6587-2020</t>
        </is>
      </c>
      <c r="B152" s="1" t="n">
        <v>43867</v>
      </c>
      <c r="C152" s="1" t="n">
        <v>45739</v>
      </c>
      <c r="D152" t="inlineStr">
        <is>
          <t>VÄRMLANDS LÄN</t>
        </is>
      </c>
      <c r="E152" t="inlineStr">
        <is>
          <t>EDA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7217-2020</t>
        </is>
      </c>
      <c r="B153" s="1" t="n">
        <v>43871</v>
      </c>
      <c r="C153" s="1" t="n">
        <v>45739</v>
      </c>
      <c r="D153" t="inlineStr">
        <is>
          <t>VÄRMLANDS LÄN</t>
        </is>
      </c>
      <c r="E153" t="inlineStr">
        <is>
          <t>EDA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7677-2020</t>
        </is>
      </c>
      <c r="B154" s="1" t="n">
        <v>43872</v>
      </c>
      <c r="C154" s="1" t="n">
        <v>45739</v>
      </c>
      <c r="D154" t="inlineStr">
        <is>
          <t>VÄRMLANDS LÄN</t>
        </is>
      </c>
      <c r="E154" t="inlineStr">
        <is>
          <t>EDA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7546-2020</t>
        </is>
      </c>
      <c r="B155" s="1" t="n">
        <v>43872</v>
      </c>
      <c r="C155" s="1" t="n">
        <v>45739</v>
      </c>
      <c r="D155" t="inlineStr">
        <is>
          <t>VÄRMLANDS LÄN</t>
        </is>
      </c>
      <c r="E155" t="inlineStr">
        <is>
          <t>EDA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7667-2020</t>
        </is>
      </c>
      <c r="B156" s="1" t="n">
        <v>43872</v>
      </c>
      <c r="C156" s="1" t="n">
        <v>45739</v>
      </c>
      <c r="D156" t="inlineStr">
        <is>
          <t>VÄRMLANDS LÄN</t>
        </is>
      </c>
      <c r="E156" t="inlineStr">
        <is>
          <t>EDA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9385-2020</t>
        </is>
      </c>
      <c r="B157" s="1" t="n">
        <v>43880</v>
      </c>
      <c r="C157" s="1" t="n">
        <v>45739</v>
      </c>
      <c r="D157" t="inlineStr">
        <is>
          <t>VÄRMLANDS LÄN</t>
        </is>
      </c>
      <c r="E157" t="inlineStr">
        <is>
          <t>EDA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10187-2020</t>
        </is>
      </c>
      <c r="B158" s="1" t="n">
        <v>43885</v>
      </c>
      <c r="C158" s="1" t="n">
        <v>45739</v>
      </c>
      <c r="D158" t="inlineStr">
        <is>
          <t>VÄRMLANDS LÄN</t>
        </is>
      </c>
      <c r="E158" t="inlineStr">
        <is>
          <t>EDA</t>
        </is>
      </c>
      <c r="F158" t="inlineStr">
        <is>
          <t>Kommuner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10525-2020</t>
        </is>
      </c>
      <c r="B159" s="1" t="n">
        <v>43886</v>
      </c>
      <c r="C159" s="1" t="n">
        <v>45739</v>
      </c>
      <c r="D159" t="inlineStr">
        <is>
          <t>VÄRMLANDS LÄN</t>
        </is>
      </c>
      <c r="E159" t="inlineStr">
        <is>
          <t>EDA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11741-2020</t>
        </is>
      </c>
      <c r="B160" s="1" t="n">
        <v>43888</v>
      </c>
      <c r="C160" s="1" t="n">
        <v>45739</v>
      </c>
      <c r="D160" t="inlineStr">
        <is>
          <t>VÄRMLANDS LÄN</t>
        </is>
      </c>
      <c r="E160" t="inlineStr">
        <is>
          <t>EDA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11205-2020</t>
        </is>
      </c>
      <c r="B161" s="1" t="n">
        <v>43892</v>
      </c>
      <c r="C161" s="1" t="n">
        <v>45739</v>
      </c>
      <c r="D161" t="inlineStr">
        <is>
          <t>VÄRMLANDS LÄN</t>
        </is>
      </c>
      <c r="E161" t="inlineStr">
        <is>
          <t>EDA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12232-2020</t>
        </is>
      </c>
      <c r="B162" s="1" t="n">
        <v>43895</v>
      </c>
      <c r="C162" s="1" t="n">
        <v>45739</v>
      </c>
      <c r="D162" t="inlineStr">
        <is>
          <t>VÄRMLANDS LÄN</t>
        </is>
      </c>
      <c r="E162" t="inlineStr">
        <is>
          <t>EDA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12363-2020</t>
        </is>
      </c>
      <c r="B163" s="1" t="n">
        <v>43896</v>
      </c>
      <c r="C163" s="1" t="n">
        <v>45739</v>
      </c>
      <c r="D163" t="inlineStr">
        <is>
          <t>VÄRMLANDS LÄN</t>
        </is>
      </c>
      <c r="E163" t="inlineStr">
        <is>
          <t>EDA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13122-2020</t>
        </is>
      </c>
      <c r="B164" s="1" t="n">
        <v>43901</v>
      </c>
      <c r="C164" s="1" t="n">
        <v>45739</v>
      </c>
      <c r="D164" t="inlineStr">
        <is>
          <t>VÄRMLANDS LÄN</t>
        </is>
      </c>
      <c r="E164" t="inlineStr">
        <is>
          <t>EDA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13417-2020</t>
        </is>
      </c>
      <c r="B165" s="1" t="n">
        <v>43902</v>
      </c>
      <c r="C165" s="1" t="n">
        <v>45739</v>
      </c>
      <c r="D165" t="inlineStr">
        <is>
          <t>VÄRMLANDS LÄN</t>
        </is>
      </c>
      <c r="E165" t="inlineStr">
        <is>
          <t>EDA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14619-2020</t>
        </is>
      </c>
      <c r="B166" s="1" t="n">
        <v>43902</v>
      </c>
      <c r="C166" s="1" t="n">
        <v>45739</v>
      </c>
      <c r="D166" t="inlineStr">
        <is>
          <t>VÄRMLANDS LÄN</t>
        </is>
      </c>
      <c r="E166" t="inlineStr">
        <is>
          <t>EDA</t>
        </is>
      </c>
      <c r="G166" t="n">
        <v>11.5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13833-2020</t>
        </is>
      </c>
      <c r="B167" s="1" t="n">
        <v>43906</v>
      </c>
      <c r="C167" s="1" t="n">
        <v>45739</v>
      </c>
      <c r="D167" t="inlineStr">
        <is>
          <t>VÄRMLANDS LÄN</t>
        </is>
      </c>
      <c r="E167" t="inlineStr">
        <is>
          <t>EDA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13853-2020</t>
        </is>
      </c>
      <c r="B168" s="1" t="n">
        <v>43906</v>
      </c>
      <c r="C168" s="1" t="n">
        <v>45739</v>
      </c>
      <c r="D168" t="inlineStr">
        <is>
          <t>VÄRMLANDS LÄN</t>
        </is>
      </c>
      <c r="E168" t="inlineStr">
        <is>
          <t>EDA</t>
        </is>
      </c>
      <c r="G168" t="n">
        <v>14.9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14973-2020</t>
        </is>
      </c>
      <c r="B169" s="1" t="n">
        <v>43907</v>
      </c>
      <c r="C169" s="1" t="n">
        <v>45739</v>
      </c>
      <c r="D169" t="inlineStr">
        <is>
          <t>VÄRMLANDS LÄN</t>
        </is>
      </c>
      <c r="E169" t="inlineStr">
        <is>
          <t>EDA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14238-2020</t>
        </is>
      </c>
      <c r="B170" s="1" t="n">
        <v>43907</v>
      </c>
      <c r="C170" s="1" t="n">
        <v>45739</v>
      </c>
      <c r="D170" t="inlineStr">
        <is>
          <t>VÄRMLANDS LÄN</t>
        </is>
      </c>
      <c r="E170" t="inlineStr">
        <is>
          <t>EDA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14222-2020</t>
        </is>
      </c>
      <c r="B171" s="1" t="n">
        <v>43907</v>
      </c>
      <c r="C171" s="1" t="n">
        <v>45739</v>
      </c>
      <c r="D171" t="inlineStr">
        <is>
          <t>VÄRMLANDS LÄN</t>
        </is>
      </c>
      <c r="E171" t="inlineStr">
        <is>
          <t>EDA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14341-2020</t>
        </is>
      </c>
      <c r="B172" s="1" t="n">
        <v>43908</v>
      </c>
      <c r="C172" s="1" t="n">
        <v>45739</v>
      </c>
      <c r="D172" t="inlineStr">
        <is>
          <t>VÄRMLANDS LÄN</t>
        </is>
      </c>
      <c r="E172" t="inlineStr">
        <is>
          <t>EDA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15426-2020</t>
        </is>
      </c>
      <c r="B173" s="1" t="n">
        <v>43914</v>
      </c>
      <c r="C173" s="1" t="n">
        <v>45739</v>
      </c>
      <c r="D173" t="inlineStr">
        <is>
          <t>VÄRMLANDS LÄN</t>
        </is>
      </c>
      <c r="E173" t="inlineStr">
        <is>
          <t>EDA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16501-2020</t>
        </is>
      </c>
      <c r="B174" s="1" t="n">
        <v>43920</v>
      </c>
      <c r="C174" s="1" t="n">
        <v>45739</v>
      </c>
      <c r="D174" t="inlineStr">
        <is>
          <t>VÄRMLANDS LÄN</t>
        </is>
      </c>
      <c r="E174" t="inlineStr">
        <is>
          <t>EDA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16792-2020</t>
        </is>
      </c>
      <c r="B175" s="1" t="n">
        <v>43921</v>
      </c>
      <c r="C175" s="1" t="n">
        <v>45739</v>
      </c>
      <c r="D175" t="inlineStr">
        <is>
          <t>VÄRMLANDS LÄN</t>
        </is>
      </c>
      <c r="E175" t="inlineStr">
        <is>
          <t>EDA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16799-2020</t>
        </is>
      </c>
      <c r="B176" s="1" t="n">
        <v>43921</v>
      </c>
      <c r="C176" s="1" t="n">
        <v>45739</v>
      </c>
      <c r="D176" t="inlineStr">
        <is>
          <t>VÄRMLANDS LÄN</t>
        </is>
      </c>
      <c r="E176" t="inlineStr">
        <is>
          <t>EDA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17908-2020</t>
        </is>
      </c>
      <c r="B177" s="1" t="n">
        <v>43924</v>
      </c>
      <c r="C177" s="1" t="n">
        <v>45739</v>
      </c>
      <c r="D177" t="inlineStr">
        <is>
          <t>VÄRMLANDS LÄN</t>
        </is>
      </c>
      <c r="E177" t="inlineStr">
        <is>
          <t>EDA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18618-2020</t>
        </is>
      </c>
      <c r="B178" s="1" t="n">
        <v>43930</v>
      </c>
      <c r="C178" s="1" t="n">
        <v>45739</v>
      </c>
      <c r="D178" t="inlineStr">
        <is>
          <t>VÄRMLANDS LÄN</t>
        </is>
      </c>
      <c r="E178" t="inlineStr">
        <is>
          <t>EDA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19007-2020</t>
        </is>
      </c>
      <c r="B179" s="1" t="n">
        <v>43936</v>
      </c>
      <c r="C179" s="1" t="n">
        <v>45739</v>
      </c>
      <c r="D179" t="inlineStr">
        <is>
          <t>VÄRMLANDS LÄN</t>
        </is>
      </c>
      <c r="E179" t="inlineStr">
        <is>
          <t>EDA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20720-2020</t>
        </is>
      </c>
      <c r="B180" s="1" t="n">
        <v>43949</v>
      </c>
      <c r="C180" s="1" t="n">
        <v>45739</v>
      </c>
      <c r="D180" t="inlineStr">
        <is>
          <t>VÄRMLANDS LÄN</t>
        </is>
      </c>
      <c r="E180" t="inlineStr">
        <is>
          <t>EDA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20734-2020</t>
        </is>
      </c>
      <c r="B181" s="1" t="n">
        <v>43949</v>
      </c>
      <c r="C181" s="1" t="n">
        <v>45739</v>
      </c>
      <c r="D181" t="inlineStr">
        <is>
          <t>VÄRMLANDS LÄN</t>
        </is>
      </c>
      <c r="E181" t="inlineStr">
        <is>
          <t>EDA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24559-2020</t>
        </is>
      </c>
      <c r="B182" s="1" t="n">
        <v>43977</v>
      </c>
      <c r="C182" s="1" t="n">
        <v>45739</v>
      </c>
      <c r="D182" t="inlineStr">
        <is>
          <t>VÄRMLANDS LÄN</t>
        </is>
      </c>
      <c r="E182" t="inlineStr">
        <is>
          <t>EDA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26111-2020</t>
        </is>
      </c>
      <c r="B183" s="1" t="n">
        <v>43985</v>
      </c>
      <c r="C183" s="1" t="n">
        <v>45739</v>
      </c>
      <c r="D183" t="inlineStr">
        <is>
          <t>VÄRMLANDS LÄN</t>
        </is>
      </c>
      <c r="E183" t="inlineStr">
        <is>
          <t>EDA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27484-2020</t>
        </is>
      </c>
      <c r="B184" s="1" t="n">
        <v>43993</v>
      </c>
      <c r="C184" s="1" t="n">
        <v>45739</v>
      </c>
      <c r="D184" t="inlineStr">
        <is>
          <t>VÄRMLANDS LÄN</t>
        </is>
      </c>
      <c r="E184" t="inlineStr">
        <is>
          <t>EDA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28192-2020</t>
        </is>
      </c>
      <c r="B185" s="1" t="n">
        <v>43997</v>
      </c>
      <c r="C185" s="1" t="n">
        <v>45739</v>
      </c>
      <c r="D185" t="inlineStr">
        <is>
          <t>VÄRMLANDS LÄN</t>
        </is>
      </c>
      <c r="E185" t="inlineStr">
        <is>
          <t>EDA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28719-2020</t>
        </is>
      </c>
      <c r="B186" s="1" t="n">
        <v>43999</v>
      </c>
      <c r="C186" s="1" t="n">
        <v>45739</v>
      </c>
      <c r="D186" t="inlineStr">
        <is>
          <t>VÄRMLANDS LÄN</t>
        </is>
      </c>
      <c r="E186" t="inlineStr">
        <is>
          <t>EDA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29380-2020</t>
        </is>
      </c>
      <c r="B187" s="1" t="n">
        <v>44004</v>
      </c>
      <c r="C187" s="1" t="n">
        <v>45739</v>
      </c>
      <c r="D187" t="inlineStr">
        <is>
          <t>VÄRMLANDS LÄN</t>
        </is>
      </c>
      <c r="E187" t="inlineStr">
        <is>
          <t>EDA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30291-2020</t>
        </is>
      </c>
      <c r="B188" s="1" t="n">
        <v>44007</v>
      </c>
      <c r="C188" s="1" t="n">
        <v>45739</v>
      </c>
      <c r="D188" t="inlineStr">
        <is>
          <t>VÄRMLANDS LÄN</t>
        </is>
      </c>
      <c r="E188" t="inlineStr">
        <is>
          <t>EDA</t>
        </is>
      </c>
      <c r="F188" t="inlineStr">
        <is>
          <t>Kommuner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30543-2020</t>
        </is>
      </c>
      <c r="B189" s="1" t="n">
        <v>44008</v>
      </c>
      <c r="C189" s="1" t="n">
        <v>45739</v>
      </c>
      <c r="D189" t="inlineStr">
        <is>
          <t>VÄRMLANDS LÄN</t>
        </is>
      </c>
      <c r="E189" t="inlineStr">
        <is>
          <t>EDA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32595-2020</t>
        </is>
      </c>
      <c r="B190" s="1" t="n">
        <v>44019</v>
      </c>
      <c r="C190" s="1" t="n">
        <v>45739</v>
      </c>
      <c r="D190" t="inlineStr">
        <is>
          <t>VÄRMLANDS LÄN</t>
        </is>
      </c>
      <c r="E190" t="inlineStr">
        <is>
          <t>EDA</t>
        </is>
      </c>
      <c r="F190" t="inlineStr">
        <is>
          <t>Kyrkan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32978-2020</t>
        </is>
      </c>
      <c r="B191" s="1" t="n">
        <v>44020</v>
      </c>
      <c r="C191" s="1" t="n">
        <v>45739</v>
      </c>
      <c r="D191" t="inlineStr">
        <is>
          <t>VÄRMLANDS LÄN</t>
        </is>
      </c>
      <c r="E191" t="inlineStr">
        <is>
          <t>EDA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33075-2020</t>
        </is>
      </c>
      <c r="B192" s="1" t="n">
        <v>44021</v>
      </c>
      <c r="C192" s="1" t="n">
        <v>45739</v>
      </c>
      <c r="D192" t="inlineStr">
        <is>
          <t>VÄRMLANDS LÄN</t>
        </is>
      </c>
      <c r="E192" t="inlineStr">
        <is>
          <t>EDA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33547-2020</t>
        </is>
      </c>
      <c r="B193" s="1" t="n">
        <v>44025</v>
      </c>
      <c r="C193" s="1" t="n">
        <v>45739</v>
      </c>
      <c r="D193" t="inlineStr">
        <is>
          <t>VÄRMLANDS LÄN</t>
        </is>
      </c>
      <c r="E193" t="inlineStr">
        <is>
          <t>EDA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34295-2020</t>
        </is>
      </c>
      <c r="B194" s="1" t="n">
        <v>44030</v>
      </c>
      <c r="C194" s="1" t="n">
        <v>45739</v>
      </c>
      <c r="D194" t="inlineStr">
        <is>
          <t>VÄRMLANDS LÄN</t>
        </is>
      </c>
      <c r="E194" t="inlineStr">
        <is>
          <t>EDA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34293-2020</t>
        </is>
      </c>
      <c r="B195" s="1" t="n">
        <v>44030</v>
      </c>
      <c r="C195" s="1" t="n">
        <v>45739</v>
      </c>
      <c r="D195" t="inlineStr">
        <is>
          <t>VÄRMLANDS LÄN</t>
        </is>
      </c>
      <c r="E195" t="inlineStr">
        <is>
          <t>EDA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35105-2020</t>
        </is>
      </c>
      <c r="B196" s="1" t="n">
        <v>44040</v>
      </c>
      <c r="C196" s="1" t="n">
        <v>45739</v>
      </c>
      <c r="D196" t="inlineStr">
        <is>
          <t>VÄRMLANDS LÄN</t>
        </is>
      </c>
      <c r="E196" t="inlineStr">
        <is>
          <t>EDA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35307-2020</t>
        </is>
      </c>
      <c r="B197" s="1" t="n">
        <v>44041</v>
      </c>
      <c r="C197" s="1" t="n">
        <v>45739</v>
      </c>
      <c r="D197" t="inlineStr">
        <is>
          <t>VÄRMLANDS LÄN</t>
        </is>
      </c>
      <c r="E197" t="inlineStr">
        <is>
          <t>EDA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35417-2020</t>
        </is>
      </c>
      <c r="B198" s="1" t="n">
        <v>44042</v>
      </c>
      <c r="C198" s="1" t="n">
        <v>45739</v>
      </c>
      <c r="D198" t="inlineStr">
        <is>
          <t>VÄRMLANDS LÄN</t>
        </is>
      </c>
      <c r="E198" t="inlineStr">
        <is>
          <t>EDA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35852-2020</t>
        </is>
      </c>
      <c r="B199" s="1" t="n">
        <v>44047</v>
      </c>
      <c r="C199" s="1" t="n">
        <v>45739</v>
      </c>
      <c r="D199" t="inlineStr">
        <is>
          <t>VÄRMLANDS LÄN</t>
        </is>
      </c>
      <c r="E199" t="inlineStr">
        <is>
          <t>EDA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36109-2020</t>
        </is>
      </c>
      <c r="B200" s="1" t="n">
        <v>44048</v>
      </c>
      <c r="C200" s="1" t="n">
        <v>45739</v>
      </c>
      <c r="D200" t="inlineStr">
        <is>
          <t>VÄRMLANDS LÄN</t>
        </is>
      </c>
      <c r="E200" t="inlineStr">
        <is>
          <t>EDA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36629-2020</t>
        </is>
      </c>
      <c r="B201" s="1" t="n">
        <v>44050</v>
      </c>
      <c r="C201" s="1" t="n">
        <v>45739</v>
      </c>
      <c r="D201" t="inlineStr">
        <is>
          <t>VÄRMLANDS LÄN</t>
        </is>
      </c>
      <c r="E201" t="inlineStr">
        <is>
          <t>EDA</t>
        </is>
      </c>
      <c r="F201" t="inlineStr">
        <is>
          <t>Kyrkan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36689-2020</t>
        </is>
      </c>
      <c r="B202" s="1" t="n">
        <v>44053</v>
      </c>
      <c r="C202" s="1" t="n">
        <v>45739</v>
      </c>
      <c r="D202" t="inlineStr">
        <is>
          <t>VÄRMLANDS LÄN</t>
        </is>
      </c>
      <c r="E202" t="inlineStr">
        <is>
          <t>EDA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37060-2020</t>
        </is>
      </c>
      <c r="B203" s="1" t="n">
        <v>44054</v>
      </c>
      <c r="C203" s="1" t="n">
        <v>45739</v>
      </c>
      <c r="D203" t="inlineStr">
        <is>
          <t>VÄRMLANDS LÄN</t>
        </is>
      </c>
      <c r="E203" t="inlineStr">
        <is>
          <t>EDA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37620-2020</t>
        </is>
      </c>
      <c r="B204" s="1" t="n">
        <v>44056</v>
      </c>
      <c r="C204" s="1" t="n">
        <v>45739</v>
      </c>
      <c r="D204" t="inlineStr">
        <is>
          <t>VÄRMLANDS LÄN</t>
        </is>
      </c>
      <c r="E204" t="inlineStr">
        <is>
          <t>EDA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37805-2020</t>
        </is>
      </c>
      <c r="B205" s="1" t="n">
        <v>44057</v>
      </c>
      <c r="C205" s="1" t="n">
        <v>45739</v>
      </c>
      <c r="D205" t="inlineStr">
        <is>
          <t>VÄRMLANDS LÄN</t>
        </is>
      </c>
      <c r="E205" t="inlineStr">
        <is>
          <t>EDA</t>
        </is>
      </c>
      <c r="G205" t="n">
        <v>10.2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38933-2020</t>
        </is>
      </c>
      <c r="B206" s="1" t="n">
        <v>44062</v>
      </c>
      <c r="C206" s="1" t="n">
        <v>45739</v>
      </c>
      <c r="D206" t="inlineStr">
        <is>
          <t>VÄRMLANDS LÄN</t>
        </is>
      </c>
      <c r="E206" t="inlineStr">
        <is>
          <t>EDA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38817-2020</t>
        </is>
      </c>
      <c r="B207" s="1" t="n">
        <v>44062</v>
      </c>
      <c r="C207" s="1" t="n">
        <v>45739</v>
      </c>
      <c r="D207" t="inlineStr">
        <is>
          <t>VÄRMLANDS LÄN</t>
        </is>
      </c>
      <c r="E207" t="inlineStr">
        <is>
          <t>EDA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39417-2020</t>
        </is>
      </c>
      <c r="B208" s="1" t="n">
        <v>44064</v>
      </c>
      <c r="C208" s="1" t="n">
        <v>45739</v>
      </c>
      <c r="D208" t="inlineStr">
        <is>
          <t>VÄRMLANDS LÄN</t>
        </is>
      </c>
      <c r="E208" t="inlineStr">
        <is>
          <t>EDA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39838-2020</t>
        </is>
      </c>
      <c r="B209" s="1" t="n">
        <v>44067</v>
      </c>
      <c r="C209" s="1" t="n">
        <v>45739</v>
      </c>
      <c r="D209" t="inlineStr">
        <is>
          <t>VÄRMLANDS LÄN</t>
        </is>
      </c>
      <c r="E209" t="inlineStr">
        <is>
          <t>EDA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39841-2020</t>
        </is>
      </c>
      <c r="B210" s="1" t="n">
        <v>44067</v>
      </c>
      <c r="C210" s="1" t="n">
        <v>45739</v>
      </c>
      <c r="D210" t="inlineStr">
        <is>
          <t>VÄRMLANDS LÄN</t>
        </is>
      </c>
      <c r="E210" t="inlineStr">
        <is>
          <t>EDA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40317-2020</t>
        </is>
      </c>
      <c r="B211" s="1" t="n">
        <v>44068</v>
      </c>
      <c r="C211" s="1" t="n">
        <v>45739</v>
      </c>
      <c r="D211" t="inlineStr">
        <is>
          <t>VÄRMLANDS LÄN</t>
        </is>
      </c>
      <c r="E211" t="inlineStr">
        <is>
          <t>EDA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40511-2020</t>
        </is>
      </c>
      <c r="B212" s="1" t="n">
        <v>44069</v>
      </c>
      <c r="C212" s="1" t="n">
        <v>45739</v>
      </c>
      <c r="D212" t="inlineStr">
        <is>
          <t>VÄRMLANDS LÄN</t>
        </is>
      </c>
      <c r="E212" t="inlineStr">
        <is>
          <t>EDA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40535-2020</t>
        </is>
      </c>
      <c r="B213" s="1" t="n">
        <v>44069</v>
      </c>
      <c r="C213" s="1" t="n">
        <v>45739</v>
      </c>
      <c r="D213" t="inlineStr">
        <is>
          <t>VÄRMLANDS LÄN</t>
        </is>
      </c>
      <c r="E213" t="inlineStr">
        <is>
          <t>EDA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40528-2020</t>
        </is>
      </c>
      <c r="B214" s="1" t="n">
        <v>44069</v>
      </c>
      <c r="C214" s="1" t="n">
        <v>45739</v>
      </c>
      <c r="D214" t="inlineStr">
        <is>
          <t>VÄRMLANDS LÄN</t>
        </is>
      </c>
      <c r="E214" t="inlineStr">
        <is>
          <t>EDA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42572-2020</t>
        </is>
      </c>
      <c r="B215" s="1" t="n">
        <v>44077</v>
      </c>
      <c r="C215" s="1" t="n">
        <v>45739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43870-2020</t>
        </is>
      </c>
      <c r="B216" s="1" t="n">
        <v>44083</v>
      </c>
      <c r="C216" s="1" t="n">
        <v>45739</v>
      </c>
      <c r="D216" t="inlineStr">
        <is>
          <t>VÄRMLANDS LÄN</t>
        </is>
      </c>
      <c r="E216" t="inlineStr">
        <is>
          <t>EDA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43869-2020</t>
        </is>
      </c>
      <c r="B217" s="1" t="n">
        <v>44083</v>
      </c>
      <c r="C217" s="1" t="n">
        <v>45739</v>
      </c>
      <c r="D217" t="inlineStr">
        <is>
          <t>VÄRMLANDS LÄN</t>
        </is>
      </c>
      <c r="E217" t="inlineStr">
        <is>
          <t>EDA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44702-2020</t>
        </is>
      </c>
      <c r="B218" s="1" t="n">
        <v>44085</v>
      </c>
      <c r="C218" s="1" t="n">
        <v>45739</v>
      </c>
      <c r="D218" t="inlineStr">
        <is>
          <t>VÄRMLANDS LÄN</t>
        </is>
      </c>
      <c r="E218" t="inlineStr">
        <is>
          <t>EDA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47872-2020</t>
        </is>
      </c>
      <c r="B219" s="1" t="n">
        <v>44099</v>
      </c>
      <c r="C219" s="1" t="n">
        <v>45739</v>
      </c>
      <c r="D219" t="inlineStr">
        <is>
          <t>VÄRMLANDS LÄN</t>
        </is>
      </c>
      <c r="E219" t="inlineStr">
        <is>
          <t>EDA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50221-2020</t>
        </is>
      </c>
      <c r="B220" s="1" t="n">
        <v>44109</v>
      </c>
      <c r="C220" s="1" t="n">
        <v>45739</v>
      </c>
      <c r="D220" t="inlineStr">
        <is>
          <t>VÄRMLANDS LÄN</t>
        </is>
      </c>
      <c r="E220" t="inlineStr">
        <is>
          <t>EDA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50294-2020</t>
        </is>
      </c>
      <c r="B221" s="1" t="n">
        <v>44110</v>
      </c>
      <c r="C221" s="1" t="n">
        <v>45739</v>
      </c>
      <c r="D221" t="inlineStr">
        <is>
          <t>VÄRMLANDS LÄN</t>
        </is>
      </c>
      <c r="E221" t="inlineStr">
        <is>
          <t>EDA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50439-2020</t>
        </is>
      </c>
      <c r="B222" s="1" t="n">
        <v>44110</v>
      </c>
      <c r="C222" s="1" t="n">
        <v>45739</v>
      </c>
      <c r="D222" t="inlineStr">
        <is>
          <t>VÄRMLANDS LÄN</t>
        </is>
      </c>
      <c r="E222" t="inlineStr">
        <is>
          <t>EDA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50373-2020</t>
        </is>
      </c>
      <c r="B223" s="1" t="n">
        <v>44110</v>
      </c>
      <c r="C223" s="1" t="n">
        <v>45739</v>
      </c>
      <c r="D223" t="inlineStr">
        <is>
          <t>VÄRMLANDS LÄN</t>
        </is>
      </c>
      <c r="E223" t="inlineStr">
        <is>
          <t>EDA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52317-2020</t>
        </is>
      </c>
      <c r="B224" s="1" t="n">
        <v>44117</v>
      </c>
      <c r="C224" s="1" t="n">
        <v>45739</v>
      </c>
      <c r="D224" t="inlineStr">
        <is>
          <t>VÄRMLANDS LÄN</t>
        </is>
      </c>
      <c r="E224" t="inlineStr">
        <is>
          <t>EDA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54839-2020</t>
        </is>
      </c>
      <c r="B225" s="1" t="n">
        <v>44127</v>
      </c>
      <c r="C225" s="1" t="n">
        <v>45739</v>
      </c>
      <c r="D225" t="inlineStr">
        <is>
          <t>VÄRMLANDS LÄN</t>
        </is>
      </c>
      <c r="E225" t="inlineStr">
        <is>
          <t>EDA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55579-2020</t>
        </is>
      </c>
      <c r="B226" s="1" t="n">
        <v>44131</v>
      </c>
      <c r="C226" s="1" t="n">
        <v>45739</v>
      </c>
      <c r="D226" t="inlineStr">
        <is>
          <t>VÄRMLANDS LÄN</t>
        </is>
      </c>
      <c r="E226" t="inlineStr">
        <is>
          <t>EDA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55546-2020</t>
        </is>
      </c>
      <c r="B227" s="1" t="n">
        <v>44131</v>
      </c>
      <c r="C227" s="1" t="n">
        <v>45739</v>
      </c>
      <c r="D227" t="inlineStr">
        <is>
          <t>VÄRMLANDS LÄN</t>
        </is>
      </c>
      <c r="E227" t="inlineStr">
        <is>
          <t>EDA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57016-2020</t>
        </is>
      </c>
      <c r="B228" s="1" t="n">
        <v>44131</v>
      </c>
      <c r="C228" s="1" t="n">
        <v>45739</v>
      </c>
      <c r="D228" t="inlineStr">
        <is>
          <t>VÄRMLANDS LÄN</t>
        </is>
      </c>
      <c r="E228" t="inlineStr">
        <is>
          <t>EDA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56867-2020</t>
        </is>
      </c>
      <c r="B229" s="1" t="n">
        <v>44131</v>
      </c>
      <c r="C229" s="1" t="n">
        <v>45739</v>
      </c>
      <c r="D229" t="inlineStr">
        <is>
          <t>VÄRMLANDS LÄN</t>
        </is>
      </c>
      <c r="E229" t="inlineStr">
        <is>
          <t>EDA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56870-2020</t>
        </is>
      </c>
      <c r="B230" s="1" t="n">
        <v>44131</v>
      </c>
      <c r="C230" s="1" t="n">
        <v>45739</v>
      </c>
      <c r="D230" t="inlineStr">
        <is>
          <t>VÄRMLANDS LÄN</t>
        </is>
      </c>
      <c r="E230" t="inlineStr">
        <is>
          <t>EDA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55959-2020</t>
        </is>
      </c>
      <c r="B231" s="1" t="n">
        <v>44133</v>
      </c>
      <c r="C231" s="1" t="n">
        <v>45739</v>
      </c>
      <c r="D231" t="inlineStr">
        <is>
          <t>VÄRMLANDS LÄN</t>
        </is>
      </c>
      <c r="E231" t="inlineStr">
        <is>
          <t>EDA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55987-2020</t>
        </is>
      </c>
      <c r="B232" s="1" t="n">
        <v>44133</v>
      </c>
      <c r="C232" s="1" t="n">
        <v>45739</v>
      </c>
      <c r="D232" t="inlineStr">
        <is>
          <t>VÄRMLANDS LÄN</t>
        </is>
      </c>
      <c r="E232" t="inlineStr">
        <is>
          <t>EDA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56226-2020</t>
        </is>
      </c>
      <c r="B233" s="1" t="n">
        <v>44134</v>
      </c>
      <c r="C233" s="1" t="n">
        <v>45739</v>
      </c>
      <c r="D233" t="inlineStr">
        <is>
          <t>VÄRMLANDS LÄN</t>
        </is>
      </c>
      <c r="E233" t="inlineStr">
        <is>
          <t>EDA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56413-2020</t>
        </is>
      </c>
      <c r="B234" s="1" t="n">
        <v>44137</v>
      </c>
      <c r="C234" s="1" t="n">
        <v>45739</v>
      </c>
      <c r="D234" t="inlineStr">
        <is>
          <t>VÄRMLANDS LÄN</t>
        </is>
      </c>
      <c r="E234" t="inlineStr">
        <is>
          <t>EDA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57998-2020</t>
        </is>
      </c>
      <c r="B235" s="1" t="n">
        <v>44144</v>
      </c>
      <c r="C235" s="1" t="n">
        <v>45739</v>
      </c>
      <c r="D235" t="inlineStr">
        <is>
          <t>VÄRMLANDS LÄN</t>
        </is>
      </c>
      <c r="E235" t="inlineStr">
        <is>
          <t>EDA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58193-2020</t>
        </is>
      </c>
      <c r="B236" s="1" t="n">
        <v>44144</v>
      </c>
      <c r="C236" s="1" t="n">
        <v>45739</v>
      </c>
      <c r="D236" t="inlineStr">
        <is>
          <t>VÄRMLANDS LÄN</t>
        </is>
      </c>
      <c r="E236" t="inlineStr">
        <is>
          <t>EDA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57994-2020</t>
        </is>
      </c>
      <c r="B237" s="1" t="n">
        <v>44144</v>
      </c>
      <c r="C237" s="1" t="n">
        <v>45739</v>
      </c>
      <c r="D237" t="inlineStr">
        <is>
          <t>VÄRMLANDS LÄN</t>
        </is>
      </c>
      <c r="E237" t="inlineStr">
        <is>
          <t>EDA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59342-2020</t>
        </is>
      </c>
      <c r="B238" s="1" t="n">
        <v>44148</v>
      </c>
      <c r="C238" s="1" t="n">
        <v>45739</v>
      </c>
      <c r="D238" t="inlineStr">
        <is>
          <t>VÄRMLANDS LÄN</t>
        </is>
      </c>
      <c r="E238" t="inlineStr">
        <is>
          <t>EDA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59343-2020</t>
        </is>
      </c>
      <c r="B239" s="1" t="n">
        <v>44148</v>
      </c>
      <c r="C239" s="1" t="n">
        <v>45739</v>
      </c>
      <c r="D239" t="inlineStr">
        <is>
          <t>VÄRMLANDS LÄN</t>
        </is>
      </c>
      <c r="E239" t="inlineStr">
        <is>
          <t>EDA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59376-2020</t>
        </is>
      </c>
      <c r="B240" s="1" t="n">
        <v>44148</v>
      </c>
      <c r="C240" s="1" t="n">
        <v>45739</v>
      </c>
      <c r="D240" t="inlineStr">
        <is>
          <t>VÄRMLANDS LÄN</t>
        </is>
      </c>
      <c r="E240" t="inlineStr">
        <is>
          <t>EDA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59368-2020</t>
        </is>
      </c>
      <c r="B241" s="1" t="n">
        <v>44148</v>
      </c>
      <c r="C241" s="1" t="n">
        <v>45739</v>
      </c>
      <c r="D241" t="inlineStr">
        <is>
          <t>VÄRMLANDS LÄN</t>
        </is>
      </c>
      <c r="E241" t="inlineStr">
        <is>
          <t>EDA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59344-2020</t>
        </is>
      </c>
      <c r="B242" s="1" t="n">
        <v>44148</v>
      </c>
      <c r="C242" s="1" t="n">
        <v>45739</v>
      </c>
      <c r="D242" t="inlineStr">
        <is>
          <t>VÄRMLANDS LÄN</t>
        </is>
      </c>
      <c r="E242" t="inlineStr">
        <is>
          <t>EDA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59653-2020</t>
        </is>
      </c>
      <c r="B243" s="1" t="n">
        <v>44151</v>
      </c>
      <c r="C243" s="1" t="n">
        <v>45739</v>
      </c>
      <c r="D243" t="inlineStr">
        <is>
          <t>VÄRMLANDS LÄN</t>
        </is>
      </c>
      <c r="E243" t="inlineStr">
        <is>
          <t>EDA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62981-2020</t>
        </is>
      </c>
      <c r="B244" s="1" t="n">
        <v>44162</v>
      </c>
      <c r="C244" s="1" t="n">
        <v>45739</v>
      </c>
      <c r="D244" t="inlineStr">
        <is>
          <t>VÄRMLANDS LÄN</t>
        </is>
      </c>
      <c r="E244" t="inlineStr">
        <is>
          <t>EDA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63652-2020</t>
        </is>
      </c>
      <c r="B245" s="1" t="n">
        <v>44166</v>
      </c>
      <c r="C245" s="1" t="n">
        <v>45739</v>
      </c>
      <c r="D245" t="inlineStr">
        <is>
          <t>VÄRMLANDS LÄN</t>
        </is>
      </c>
      <c r="E245" t="inlineStr">
        <is>
          <t>EDA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63859-2020</t>
        </is>
      </c>
      <c r="B246" s="1" t="n">
        <v>44166</v>
      </c>
      <c r="C246" s="1" t="n">
        <v>45739</v>
      </c>
      <c r="D246" t="inlineStr">
        <is>
          <t>VÄRMLANDS LÄN</t>
        </is>
      </c>
      <c r="E246" t="inlineStr">
        <is>
          <t>EDA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63675-2020</t>
        </is>
      </c>
      <c r="B247" s="1" t="n">
        <v>44166</v>
      </c>
      <c r="C247" s="1" t="n">
        <v>45739</v>
      </c>
      <c r="D247" t="inlineStr">
        <is>
          <t>VÄRMLANDS LÄN</t>
        </is>
      </c>
      <c r="E247" t="inlineStr">
        <is>
          <t>EDA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64792-2020</t>
        </is>
      </c>
      <c r="B248" s="1" t="n">
        <v>44169</v>
      </c>
      <c r="C248" s="1" t="n">
        <v>45739</v>
      </c>
      <c r="D248" t="inlineStr">
        <is>
          <t>VÄRMLANDS LÄN</t>
        </is>
      </c>
      <c r="E248" t="inlineStr">
        <is>
          <t>EDA</t>
        </is>
      </c>
      <c r="G248" t="n">
        <v>12.1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65613-2020</t>
        </is>
      </c>
      <c r="B249" s="1" t="n">
        <v>44173</v>
      </c>
      <c r="C249" s="1" t="n">
        <v>45739</v>
      </c>
      <c r="D249" t="inlineStr">
        <is>
          <t>VÄRMLANDS LÄN</t>
        </is>
      </c>
      <c r="E249" t="inlineStr">
        <is>
          <t>EDA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66178-2020</t>
        </is>
      </c>
      <c r="B250" s="1" t="n">
        <v>44175</v>
      </c>
      <c r="C250" s="1" t="n">
        <v>45739</v>
      </c>
      <c r="D250" t="inlineStr">
        <is>
          <t>VÄRMLANDS LÄN</t>
        </is>
      </c>
      <c r="E250" t="inlineStr">
        <is>
          <t>EDA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66200-2020</t>
        </is>
      </c>
      <c r="B251" s="1" t="n">
        <v>44175</v>
      </c>
      <c r="C251" s="1" t="n">
        <v>45739</v>
      </c>
      <c r="D251" t="inlineStr">
        <is>
          <t>VÄRMLANDS LÄN</t>
        </is>
      </c>
      <c r="E251" t="inlineStr">
        <is>
          <t>EDA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66521-2020</t>
        </is>
      </c>
      <c r="B252" s="1" t="n">
        <v>44179</v>
      </c>
      <c r="C252" s="1" t="n">
        <v>45739</v>
      </c>
      <c r="D252" t="inlineStr">
        <is>
          <t>VÄRMLANDS LÄN</t>
        </is>
      </c>
      <c r="E252" t="inlineStr">
        <is>
          <t>EDA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67564-2020</t>
        </is>
      </c>
      <c r="B253" s="1" t="n">
        <v>44181</v>
      </c>
      <c r="C253" s="1" t="n">
        <v>45739</v>
      </c>
      <c r="D253" t="inlineStr">
        <is>
          <t>VÄRMLANDS LÄN</t>
        </is>
      </c>
      <c r="E253" t="inlineStr">
        <is>
          <t>EDA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67632-2020</t>
        </is>
      </c>
      <c r="B254" s="1" t="n">
        <v>44182</v>
      </c>
      <c r="C254" s="1" t="n">
        <v>45739</v>
      </c>
      <c r="D254" t="inlineStr">
        <is>
          <t>VÄRMLANDS LÄN</t>
        </is>
      </c>
      <c r="E254" t="inlineStr">
        <is>
          <t>EDA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68244-2020</t>
        </is>
      </c>
      <c r="B255" s="1" t="n">
        <v>44182</v>
      </c>
      <c r="C255" s="1" t="n">
        <v>45739</v>
      </c>
      <c r="D255" t="inlineStr">
        <is>
          <t>VÄRMLANDS LÄN</t>
        </is>
      </c>
      <c r="E255" t="inlineStr">
        <is>
          <t>EDA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68549-2020</t>
        </is>
      </c>
      <c r="B256" s="1" t="n">
        <v>44186</v>
      </c>
      <c r="C256" s="1" t="n">
        <v>45739</v>
      </c>
      <c r="D256" t="inlineStr">
        <is>
          <t>VÄRMLANDS LÄN</t>
        </is>
      </c>
      <c r="E256" t="inlineStr">
        <is>
          <t>EDA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421-2021</t>
        </is>
      </c>
      <c r="B257" s="1" t="n">
        <v>44201</v>
      </c>
      <c r="C257" s="1" t="n">
        <v>45739</v>
      </c>
      <c r="D257" t="inlineStr">
        <is>
          <t>VÄRMLANDS LÄN</t>
        </is>
      </c>
      <c r="E257" t="inlineStr">
        <is>
          <t>EDA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909-2021</t>
        </is>
      </c>
      <c r="B258" s="1" t="n">
        <v>44207</v>
      </c>
      <c r="C258" s="1" t="n">
        <v>45739</v>
      </c>
      <c r="D258" t="inlineStr">
        <is>
          <t>VÄRMLANDS LÄN</t>
        </is>
      </c>
      <c r="E258" t="inlineStr">
        <is>
          <t>EDA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1126-2021</t>
        </is>
      </c>
      <c r="B259" s="1" t="n">
        <v>44207</v>
      </c>
      <c r="C259" s="1" t="n">
        <v>45739</v>
      </c>
      <c r="D259" t="inlineStr">
        <is>
          <t>VÄRMLANDS LÄN</t>
        </is>
      </c>
      <c r="E259" t="inlineStr">
        <is>
          <t>EDA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2293-2021</t>
        </is>
      </c>
      <c r="B260" s="1" t="n">
        <v>44212</v>
      </c>
      <c r="C260" s="1" t="n">
        <v>45739</v>
      </c>
      <c r="D260" t="inlineStr">
        <is>
          <t>VÄRMLANDS LÄN</t>
        </is>
      </c>
      <c r="E260" t="inlineStr">
        <is>
          <t>EDA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3110-2021</t>
        </is>
      </c>
      <c r="B261" s="1" t="n">
        <v>44217</v>
      </c>
      <c r="C261" s="1" t="n">
        <v>45739</v>
      </c>
      <c r="D261" t="inlineStr">
        <is>
          <t>VÄRMLANDS LÄN</t>
        </is>
      </c>
      <c r="E261" t="inlineStr">
        <is>
          <t>EDA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3167-2021</t>
        </is>
      </c>
      <c r="B262" s="1" t="n">
        <v>44217</v>
      </c>
      <c r="C262" s="1" t="n">
        <v>45739</v>
      </c>
      <c r="D262" t="inlineStr">
        <is>
          <t>VÄRMLANDS LÄN</t>
        </is>
      </c>
      <c r="E262" t="inlineStr">
        <is>
          <t>EDA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3233-2021</t>
        </is>
      </c>
      <c r="B263" s="1" t="n">
        <v>44217</v>
      </c>
      <c r="C263" s="1" t="n">
        <v>45739</v>
      </c>
      <c r="D263" t="inlineStr">
        <is>
          <t>VÄRMLANDS LÄN</t>
        </is>
      </c>
      <c r="E263" t="inlineStr">
        <is>
          <t>EDA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4345-2021</t>
        </is>
      </c>
      <c r="B264" s="1" t="n">
        <v>44223</v>
      </c>
      <c r="C264" s="1" t="n">
        <v>45739</v>
      </c>
      <c r="D264" t="inlineStr">
        <is>
          <t>VÄRMLANDS LÄN</t>
        </is>
      </c>
      <c r="E264" t="inlineStr">
        <is>
          <t>EDA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4129-2021</t>
        </is>
      </c>
      <c r="B265" s="1" t="n">
        <v>44223</v>
      </c>
      <c r="C265" s="1" t="n">
        <v>45739</v>
      </c>
      <c r="D265" t="inlineStr">
        <is>
          <t>VÄRMLANDS LÄN</t>
        </is>
      </c>
      <c r="E265" t="inlineStr">
        <is>
          <t>EDA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4537-2021</t>
        </is>
      </c>
      <c r="B266" s="1" t="n">
        <v>44224</v>
      </c>
      <c r="C266" s="1" t="n">
        <v>45739</v>
      </c>
      <c r="D266" t="inlineStr">
        <is>
          <t>VÄRMLANDS LÄN</t>
        </is>
      </c>
      <c r="E266" t="inlineStr">
        <is>
          <t>EDA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4702-2021</t>
        </is>
      </c>
      <c r="B267" s="1" t="n">
        <v>44225</v>
      </c>
      <c r="C267" s="1" t="n">
        <v>45739</v>
      </c>
      <c r="D267" t="inlineStr">
        <is>
          <t>VÄRMLANDS LÄN</t>
        </is>
      </c>
      <c r="E267" t="inlineStr">
        <is>
          <t>EDA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4935-2021</t>
        </is>
      </c>
      <c r="B268" s="1" t="n">
        <v>44227</v>
      </c>
      <c r="C268" s="1" t="n">
        <v>45739</v>
      </c>
      <c r="D268" t="inlineStr">
        <is>
          <t>VÄRMLANDS LÄN</t>
        </is>
      </c>
      <c r="E268" t="inlineStr">
        <is>
          <t>EDA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4934-2021</t>
        </is>
      </c>
      <c r="B269" s="1" t="n">
        <v>44227</v>
      </c>
      <c r="C269" s="1" t="n">
        <v>45739</v>
      </c>
      <c r="D269" t="inlineStr">
        <is>
          <t>VÄRMLANDS LÄN</t>
        </is>
      </c>
      <c r="E269" t="inlineStr">
        <is>
          <t>EDA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4936-2021</t>
        </is>
      </c>
      <c r="B270" s="1" t="n">
        <v>44227</v>
      </c>
      <c r="C270" s="1" t="n">
        <v>45739</v>
      </c>
      <c r="D270" t="inlineStr">
        <is>
          <t>VÄRMLANDS LÄN</t>
        </is>
      </c>
      <c r="E270" t="inlineStr">
        <is>
          <t>EDA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6472-2021</t>
        </is>
      </c>
      <c r="B271" s="1" t="n">
        <v>44235</v>
      </c>
      <c r="C271" s="1" t="n">
        <v>45739</v>
      </c>
      <c r="D271" t="inlineStr">
        <is>
          <t>VÄRMLANDS LÄN</t>
        </is>
      </c>
      <c r="E271" t="inlineStr">
        <is>
          <t>EDA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6696-2021</t>
        </is>
      </c>
      <c r="B272" s="1" t="n">
        <v>44236</v>
      </c>
      <c r="C272" s="1" t="n">
        <v>45739</v>
      </c>
      <c r="D272" t="inlineStr">
        <is>
          <t>VÄRMLANDS LÄN</t>
        </is>
      </c>
      <c r="E272" t="inlineStr">
        <is>
          <t>EDA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8151-2021</t>
        </is>
      </c>
      <c r="B273" s="1" t="n">
        <v>44244</v>
      </c>
      <c r="C273" s="1" t="n">
        <v>45739</v>
      </c>
      <c r="D273" t="inlineStr">
        <is>
          <t>VÄRMLANDS LÄN</t>
        </is>
      </c>
      <c r="E273" t="inlineStr">
        <is>
          <t>EDA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8132-2021</t>
        </is>
      </c>
      <c r="B274" s="1" t="n">
        <v>44244</v>
      </c>
      <c r="C274" s="1" t="n">
        <v>45739</v>
      </c>
      <c r="D274" t="inlineStr">
        <is>
          <t>VÄRMLANDS LÄN</t>
        </is>
      </c>
      <c r="E274" t="inlineStr">
        <is>
          <t>EDA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8144-2021</t>
        </is>
      </c>
      <c r="B275" s="1" t="n">
        <v>44244</v>
      </c>
      <c r="C275" s="1" t="n">
        <v>45739</v>
      </c>
      <c r="D275" t="inlineStr">
        <is>
          <t>VÄRMLANDS LÄN</t>
        </is>
      </c>
      <c r="E275" t="inlineStr">
        <is>
          <t>EDA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8140-2021</t>
        </is>
      </c>
      <c r="B276" s="1" t="n">
        <v>44244</v>
      </c>
      <c r="C276" s="1" t="n">
        <v>45739</v>
      </c>
      <c r="D276" t="inlineStr">
        <is>
          <t>VÄRMLANDS LÄN</t>
        </is>
      </c>
      <c r="E276" t="inlineStr">
        <is>
          <t>EDA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8143-2021</t>
        </is>
      </c>
      <c r="B277" s="1" t="n">
        <v>44244</v>
      </c>
      <c r="C277" s="1" t="n">
        <v>45739</v>
      </c>
      <c r="D277" t="inlineStr">
        <is>
          <t>VÄRMLANDS LÄN</t>
        </is>
      </c>
      <c r="E277" t="inlineStr">
        <is>
          <t>EDA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9289-2021</t>
        </is>
      </c>
      <c r="B278" s="1" t="n">
        <v>44249</v>
      </c>
      <c r="C278" s="1" t="n">
        <v>45739</v>
      </c>
      <c r="D278" t="inlineStr">
        <is>
          <t>VÄRMLANDS LÄN</t>
        </is>
      </c>
      <c r="E278" t="inlineStr">
        <is>
          <t>EDA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10322-2021</t>
        </is>
      </c>
      <c r="B279" s="1" t="n">
        <v>44257</v>
      </c>
      <c r="C279" s="1" t="n">
        <v>45739</v>
      </c>
      <c r="D279" t="inlineStr">
        <is>
          <t>VÄRMLANDS LÄN</t>
        </is>
      </c>
      <c r="E279" t="inlineStr">
        <is>
          <t>EDA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10730-2021</t>
        </is>
      </c>
      <c r="B280" s="1" t="n">
        <v>44258</v>
      </c>
      <c r="C280" s="1" t="n">
        <v>45739</v>
      </c>
      <c r="D280" t="inlineStr">
        <is>
          <t>VÄRMLANDS LÄN</t>
        </is>
      </c>
      <c r="E280" t="inlineStr">
        <is>
          <t>EDA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10729-2021</t>
        </is>
      </c>
      <c r="B281" s="1" t="n">
        <v>44258</v>
      </c>
      <c r="C281" s="1" t="n">
        <v>45739</v>
      </c>
      <c r="D281" t="inlineStr">
        <is>
          <t>VÄRMLANDS LÄN</t>
        </is>
      </c>
      <c r="E281" t="inlineStr">
        <is>
          <t>EDA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10774-2021</t>
        </is>
      </c>
      <c r="B282" s="1" t="n">
        <v>44259</v>
      </c>
      <c r="C282" s="1" t="n">
        <v>45739</v>
      </c>
      <c r="D282" t="inlineStr">
        <is>
          <t>VÄRMLANDS LÄN</t>
        </is>
      </c>
      <c r="E282" t="inlineStr">
        <is>
          <t>EDA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12892-2021</t>
        </is>
      </c>
      <c r="B283" s="1" t="n">
        <v>44271</v>
      </c>
      <c r="C283" s="1" t="n">
        <v>45739</v>
      </c>
      <c r="D283" t="inlineStr">
        <is>
          <t>VÄRMLANDS LÄN</t>
        </is>
      </c>
      <c r="E283" t="inlineStr">
        <is>
          <t>EDA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14222-2021</t>
        </is>
      </c>
      <c r="B284" s="1" t="n">
        <v>44278</v>
      </c>
      <c r="C284" s="1" t="n">
        <v>45739</v>
      </c>
      <c r="D284" t="inlineStr">
        <is>
          <t>VÄRMLANDS LÄN</t>
        </is>
      </c>
      <c r="E284" t="inlineStr">
        <is>
          <t>EDA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14913-2021</t>
        </is>
      </c>
      <c r="B285" s="1" t="n">
        <v>44281</v>
      </c>
      <c r="C285" s="1" t="n">
        <v>45739</v>
      </c>
      <c r="D285" t="inlineStr">
        <is>
          <t>VÄRMLANDS LÄN</t>
        </is>
      </c>
      <c r="E285" t="inlineStr">
        <is>
          <t>EDA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15395-2021</t>
        </is>
      </c>
      <c r="B286" s="1" t="n">
        <v>44285</v>
      </c>
      <c r="C286" s="1" t="n">
        <v>45739</v>
      </c>
      <c r="D286" t="inlineStr">
        <is>
          <t>VÄRMLANDS LÄN</t>
        </is>
      </c>
      <c r="E286" t="inlineStr">
        <is>
          <t>EDA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15759-2021</t>
        </is>
      </c>
      <c r="B287" s="1" t="n">
        <v>44286</v>
      </c>
      <c r="C287" s="1" t="n">
        <v>45739</v>
      </c>
      <c r="D287" t="inlineStr">
        <is>
          <t>VÄRMLANDS LÄN</t>
        </is>
      </c>
      <c r="E287" t="inlineStr">
        <is>
          <t>EDA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15761-2021</t>
        </is>
      </c>
      <c r="B288" s="1" t="n">
        <v>44286</v>
      </c>
      <c r="C288" s="1" t="n">
        <v>45739</v>
      </c>
      <c r="D288" t="inlineStr">
        <is>
          <t>VÄRMLANDS LÄN</t>
        </is>
      </c>
      <c r="E288" t="inlineStr">
        <is>
          <t>EDA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16078-2021</t>
        </is>
      </c>
      <c r="B289" s="1" t="n">
        <v>44288</v>
      </c>
      <c r="C289" s="1" t="n">
        <v>45739</v>
      </c>
      <c r="D289" t="inlineStr">
        <is>
          <t>VÄRMLANDS LÄN</t>
        </is>
      </c>
      <c r="E289" t="inlineStr">
        <is>
          <t>EDA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16079-2021</t>
        </is>
      </c>
      <c r="B290" s="1" t="n">
        <v>44288</v>
      </c>
      <c r="C290" s="1" t="n">
        <v>45739</v>
      </c>
      <c r="D290" t="inlineStr">
        <is>
          <t>VÄRMLANDS LÄN</t>
        </is>
      </c>
      <c r="E290" t="inlineStr">
        <is>
          <t>EDA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16105-2021</t>
        </is>
      </c>
      <c r="B291" s="1" t="n">
        <v>44290</v>
      </c>
      <c r="C291" s="1" t="n">
        <v>45739</v>
      </c>
      <c r="D291" t="inlineStr">
        <is>
          <t>VÄRMLANDS LÄN</t>
        </is>
      </c>
      <c r="E291" t="inlineStr">
        <is>
          <t>EDA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16103-2021</t>
        </is>
      </c>
      <c r="B292" s="1" t="n">
        <v>44290</v>
      </c>
      <c r="C292" s="1" t="n">
        <v>45739</v>
      </c>
      <c r="D292" t="inlineStr">
        <is>
          <t>VÄRMLANDS LÄN</t>
        </is>
      </c>
      <c r="E292" t="inlineStr">
        <is>
          <t>EDA</t>
        </is>
      </c>
      <c r="G292" t="n">
        <v>11.1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16104-2021</t>
        </is>
      </c>
      <c r="B293" s="1" t="n">
        <v>44290</v>
      </c>
      <c r="C293" s="1" t="n">
        <v>45739</v>
      </c>
      <c r="D293" t="inlineStr">
        <is>
          <t>VÄRMLANDS LÄN</t>
        </is>
      </c>
      <c r="E293" t="inlineStr">
        <is>
          <t>EDA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17162-2021</t>
        </is>
      </c>
      <c r="B294" s="1" t="n">
        <v>44298</v>
      </c>
      <c r="C294" s="1" t="n">
        <v>45739</v>
      </c>
      <c r="D294" t="inlineStr">
        <is>
          <t>VÄRMLANDS LÄN</t>
        </is>
      </c>
      <c r="E294" t="inlineStr">
        <is>
          <t>EDA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21308-2021</t>
        </is>
      </c>
      <c r="B295" s="1" t="n">
        <v>44320</v>
      </c>
      <c r="C295" s="1" t="n">
        <v>45739</v>
      </c>
      <c r="D295" t="inlineStr">
        <is>
          <t>VÄRMLANDS LÄN</t>
        </is>
      </c>
      <c r="E295" t="inlineStr">
        <is>
          <t>EDA</t>
        </is>
      </c>
      <c r="G295" t="n">
        <v>15.1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22413-2021</t>
        </is>
      </c>
      <c r="B296" s="1" t="n">
        <v>44326</v>
      </c>
      <c r="C296" s="1" t="n">
        <v>45739</v>
      </c>
      <c r="D296" t="inlineStr">
        <is>
          <t>VÄRMLANDS LÄN</t>
        </is>
      </c>
      <c r="E296" t="inlineStr">
        <is>
          <t>EDA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22700-2021</t>
        </is>
      </c>
      <c r="B297" s="1" t="n">
        <v>44327</v>
      </c>
      <c r="C297" s="1" t="n">
        <v>45739</v>
      </c>
      <c r="D297" t="inlineStr">
        <is>
          <t>VÄRMLANDS LÄN</t>
        </is>
      </c>
      <c r="E297" t="inlineStr">
        <is>
          <t>EDA</t>
        </is>
      </c>
      <c r="F297" t="inlineStr">
        <is>
          <t>Kommuner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22714-2021</t>
        </is>
      </c>
      <c r="B298" s="1" t="n">
        <v>44327</v>
      </c>
      <c r="C298" s="1" t="n">
        <v>45739</v>
      </c>
      <c r="D298" t="inlineStr">
        <is>
          <t>VÄRMLANDS LÄN</t>
        </is>
      </c>
      <c r="E298" t="inlineStr">
        <is>
          <t>EDA</t>
        </is>
      </c>
      <c r="F298" t="inlineStr">
        <is>
          <t>Bergvik skog väst AB</t>
        </is>
      </c>
      <c r="G298" t="n">
        <v>14.3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23048-2021</t>
        </is>
      </c>
      <c r="B299" s="1" t="n">
        <v>44329</v>
      </c>
      <c r="C299" s="1" t="n">
        <v>45739</v>
      </c>
      <c r="D299" t="inlineStr">
        <is>
          <t>VÄRMLANDS LÄN</t>
        </is>
      </c>
      <c r="E299" t="inlineStr">
        <is>
          <t>EDA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23053-2021</t>
        </is>
      </c>
      <c r="B300" s="1" t="n">
        <v>44329</v>
      </c>
      <c r="C300" s="1" t="n">
        <v>45739</v>
      </c>
      <c r="D300" t="inlineStr">
        <is>
          <t>VÄRMLANDS LÄN</t>
        </is>
      </c>
      <c r="E300" t="inlineStr">
        <is>
          <t>EDA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23051-2021</t>
        </is>
      </c>
      <c r="B301" s="1" t="n">
        <v>44329</v>
      </c>
      <c r="C301" s="1" t="n">
        <v>45739</v>
      </c>
      <c r="D301" t="inlineStr">
        <is>
          <t>VÄRMLANDS LÄN</t>
        </is>
      </c>
      <c r="E301" t="inlineStr">
        <is>
          <t>EDA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23055-2021</t>
        </is>
      </c>
      <c r="B302" s="1" t="n">
        <v>44329</v>
      </c>
      <c r="C302" s="1" t="n">
        <v>45739</v>
      </c>
      <c r="D302" t="inlineStr">
        <is>
          <t>VÄRMLANDS LÄN</t>
        </is>
      </c>
      <c r="E302" t="inlineStr">
        <is>
          <t>EDA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23054-2021</t>
        </is>
      </c>
      <c r="B303" s="1" t="n">
        <v>44329</v>
      </c>
      <c r="C303" s="1" t="n">
        <v>45739</v>
      </c>
      <c r="D303" t="inlineStr">
        <is>
          <t>VÄRMLANDS LÄN</t>
        </is>
      </c>
      <c r="E303" t="inlineStr">
        <is>
          <t>EDA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23863-2021</t>
        </is>
      </c>
      <c r="B304" s="1" t="n">
        <v>44335</v>
      </c>
      <c r="C304" s="1" t="n">
        <v>45739</v>
      </c>
      <c r="D304" t="inlineStr">
        <is>
          <t>VÄRMLANDS LÄN</t>
        </is>
      </c>
      <c r="E304" t="inlineStr">
        <is>
          <t>EDA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24461-2021</t>
        </is>
      </c>
      <c r="B305" s="1" t="n">
        <v>44337</v>
      </c>
      <c r="C305" s="1" t="n">
        <v>45739</v>
      </c>
      <c r="D305" t="inlineStr">
        <is>
          <t>VÄRMLANDS LÄN</t>
        </is>
      </c>
      <c r="E305" t="inlineStr">
        <is>
          <t>EDA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25180-2021</t>
        </is>
      </c>
      <c r="B306" s="1" t="n">
        <v>44342</v>
      </c>
      <c r="C306" s="1" t="n">
        <v>45739</v>
      </c>
      <c r="D306" t="inlineStr">
        <is>
          <t>VÄRMLANDS LÄN</t>
        </is>
      </c>
      <c r="E306" t="inlineStr">
        <is>
          <t>EDA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27031-2021</t>
        </is>
      </c>
      <c r="B307" s="1" t="n">
        <v>44350</v>
      </c>
      <c r="C307" s="1" t="n">
        <v>45739</v>
      </c>
      <c r="D307" t="inlineStr">
        <is>
          <t>VÄRMLANDS LÄN</t>
        </is>
      </c>
      <c r="E307" t="inlineStr">
        <is>
          <t>EDA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27300-2021</t>
        </is>
      </c>
      <c r="B308" s="1" t="n">
        <v>44351</v>
      </c>
      <c r="C308" s="1" t="n">
        <v>45739</v>
      </c>
      <c r="D308" t="inlineStr">
        <is>
          <t>VÄRMLANDS LÄN</t>
        </is>
      </c>
      <c r="E308" t="inlineStr">
        <is>
          <t>EDA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28352-2021</t>
        </is>
      </c>
      <c r="B309" s="1" t="n">
        <v>44356</v>
      </c>
      <c r="C309" s="1" t="n">
        <v>45739</v>
      </c>
      <c r="D309" t="inlineStr">
        <is>
          <t>VÄRMLANDS LÄN</t>
        </is>
      </c>
      <c r="E309" t="inlineStr">
        <is>
          <t>EDA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28471-2021</t>
        </is>
      </c>
      <c r="B310" s="1" t="n">
        <v>44356</v>
      </c>
      <c r="C310" s="1" t="n">
        <v>45739</v>
      </c>
      <c r="D310" t="inlineStr">
        <is>
          <t>VÄRMLANDS LÄN</t>
        </is>
      </c>
      <c r="E310" t="inlineStr">
        <is>
          <t>EDA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28730-2021</t>
        </is>
      </c>
      <c r="B311" s="1" t="n">
        <v>44357</v>
      </c>
      <c r="C311" s="1" t="n">
        <v>45739</v>
      </c>
      <c r="D311" t="inlineStr">
        <is>
          <t>VÄRMLANDS LÄN</t>
        </is>
      </c>
      <c r="E311" t="inlineStr">
        <is>
          <t>EDA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28744-2021</t>
        </is>
      </c>
      <c r="B312" s="1" t="n">
        <v>44357</v>
      </c>
      <c r="C312" s="1" t="n">
        <v>45739</v>
      </c>
      <c r="D312" t="inlineStr">
        <is>
          <t>VÄRMLANDS LÄN</t>
        </is>
      </c>
      <c r="E312" t="inlineStr">
        <is>
          <t>EDA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28725-2021</t>
        </is>
      </c>
      <c r="B313" s="1" t="n">
        <v>44357</v>
      </c>
      <c r="C313" s="1" t="n">
        <v>45739</v>
      </c>
      <c r="D313" t="inlineStr">
        <is>
          <t>VÄRMLANDS LÄN</t>
        </is>
      </c>
      <c r="E313" t="inlineStr">
        <is>
          <t>EDA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31599-2021</t>
        </is>
      </c>
      <c r="B314" s="1" t="n">
        <v>44369</v>
      </c>
      <c r="C314" s="1" t="n">
        <v>45739</v>
      </c>
      <c r="D314" t="inlineStr">
        <is>
          <t>VÄRMLANDS LÄN</t>
        </is>
      </c>
      <c r="E314" t="inlineStr">
        <is>
          <t>EDA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31644-2021</t>
        </is>
      </c>
      <c r="B315" s="1" t="n">
        <v>44369</v>
      </c>
      <c r="C315" s="1" t="n">
        <v>45739</v>
      </c>
      <c r="D315" t="inlineStr">
        <is>
          <t>VÄRMLANDS LÄN</t>
        </is>
      </c>
      <c r="E315" t="inlineStr">
        <is>
          <t>EDA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31657-2021</t>
        </is>
      </c>
      <c r="B316" s="1" t="n">
        <v>44369</v>
      </c>
      <c r="C316" s="1" t="n">
        <v>45739</v>
      </c>
      <c r="D316" t="inlineStr">
        <is>
          <t>VÄRMLANDS LÄN</t>
        </is>
      </c>
      <c r="E316" t="inlineStr">
        <is>
          <t>EDA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36418-2021</t>
        </is>
      </c>
      <c r="B317" s="1" t="n">
        <v>44375</v>
      </c>
      <c r="C317" s="1" t="n">
        <v>45739</v>
      </c>
      <c r="D317" t="inlineStr">
        <is>
          <t>VÄRMLANDS LÄN</t>
        </is>
      </c>
      <c r="E317" t="inlineStr">
        <is>
          <t>EDA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32851-2021</t>
        </is>
      </c>
      <c r="B318" s="1" t="n">
        <v>44375</v>
      </c>
      <c r="C318" s="1" t="n">
        <v>45739</v>
      </c>
      <c r="D318" t="inlineStr">
        <is>
          <t>VÄRMLANDS LÄN</t>
        </is>
      </c>
      <c r="E318" t="inlineStr">
        <is>
          <t>EDA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33153-2021</t>
        </is>
      </c>
      <c r="B319" s="1" t="n">
        <v>44376</v>
      </c>
      <c r="C319" s="1" t="n">
        <v>45739</v>
      </c>
      <c r="D319" t="inlineStr">
        <is>
          <t>VÄRMLANDS LÄN</t>
        </is>
      </c>
      <c r="E319" t="inlineStr">
        <is>
          <t>EDA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33254-2021</t>
        </is>
      </c>
      <c r="B320" s="1" t="n">
        <v>44377</v>
      </c>
      <c r="C320" s="1" t="n">
        <v>45739</v>
      </c>
      <c r="D320" t="inlineStr">
        <is>
          <t>VÄRMLANDS LÄN</t>
        </is>
      </c>
      <c r="E320" t="inlineStr">
        <is>
          <t>EDA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33247-2021</t>
        </is>
      </c>
      <c r="B321" s="1" t="n">
        <v>44377</v>
      </c>
      <c r="C321" s="1" t="n">
        <v>45739</v>
      </c>
      <c r="D321" t="inlineStr">
        <is>
          <t>VÄRMLANDS LÄN</t>
        </is>
      </c>
      <c r="E321" t="inlineStr">
        <is>
          <t>EDA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33239-2021</t>
        </is>
      </c>
      <c r="B322" s="1" t="n">
        <v>44377</v>
      </c>
      <c r="C322" s="1" t="n">
        <v>45739</v>
      </c>
      <c r="D322" t="inlineStr">
        <is>
          <t>VÄRMLANDS LÄN</t>
        </is>
      </c>
      <c r="E322" t="inlineStr">
        <is>
          <t>EDA</t>
        </is>
      </c>
      <c r="G322" t="n">
        <v>10.3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34616-2021</t>
        </is>
      </c>
      <c r="B323" s="1" t="n">
        <v>44382</v>
      </c>
      <c r="C323" s="1" t="n">
        <v>45739</v>
      </c>
      <c r="D323" t="inlineStr">
        <is>
          <t>VÄRMLANDS LÄN</t>
        </is>
      </c>
      <c r="E323" t="inlineStr">
        <is>
          <t>EDA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34994-2021</t>
        </is>
      </c>
      <c r="B324" s="1" t="n">
        <v>44383</v>
      </c>
      <c r="C324" s="1" t="n">
        <v>45739</v>
      </c>
      <c r="D324" t="inlineStr">
        <is>
          <t>VÄRMLANDS LÄN</t>
        </is>
      </c>
      <c r="E324" t="inlineStr">
        <is>
          <t>EDA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35488-2021</t>
        </is>
      </c>
      <c r="B325" s="1" t="n">
        <v>44385</v>
      </c>
      <c r="C325" s="1" t="n">
        <v>45739</v>
      </c>
      <c r="D325" t="inlineStr">
        <is>
          <t>VÄRMLANDS LÄN</t>
        </is>
      </c>
      <c r="E325" t="inlineStr">
        <is>
          <t>EDA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35613-2021</t>
        </is>
      </c>
      <c r="B326" s="1" t="n">
        <v>44386</v>
      </c>
      <c r="C326" s="1" t="n">
        <v>45739</v>
      </c>
      <c r="D326" t="inlineStr">
        <is>
          <t>VÄRMLANDS LÄN</t>
        </is>
      </c>
      <c r="E326" t="inlineStr">
        <is>
          <t>EDA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37860-2021</t>
        </is>
      </c>
      <c r="B327" s="1" t="n">
        <v>44403</v>
      </c>
      <c r="C327" s="1" t="n">
        <v>45739</v>
      </c>
      <c r="D327" t="inlineStr">
        <is>
          <t>VÄRMLANDS LÄN</t>
        </is>
      </c>
      <c r="E327" t="inlineStr">
        <is>
          <t>EDA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45739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45739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45739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45739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45739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45739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45739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45739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45739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45739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45739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45739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45739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45739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45739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45739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45739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45739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45739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45739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45739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45739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45739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45739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45739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45739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45739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45739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45739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45739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45739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45739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45739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45739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45739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45739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45739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45739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45739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45739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45739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45739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45739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45739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45739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45739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45739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45739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45739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45739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45739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45739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45739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45739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45739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45739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45739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45739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45739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45739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45739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45739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45739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45739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45739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45739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45739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45739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45739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45739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45739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45739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45739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45739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45739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45739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45739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45739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45739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45739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45739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45739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45739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45739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45739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45739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45739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45739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45739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45739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45739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45739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45739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45739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45739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45739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45739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45739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45739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45739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45739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45739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45739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45739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45739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45739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45739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45739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45739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45739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45739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45739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45739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45739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45739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45739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45739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45739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45739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45739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45739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45739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45739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45739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45739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45739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45739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45739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45739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45739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45739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45739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45739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45739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45739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45739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45739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45739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45739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45739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45739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45739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45739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45739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45739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45739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45739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45739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45739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45739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45739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45739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45739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45739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45739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45739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45739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45739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45739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45739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45739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45739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45739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45739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45739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45739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45739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45739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45739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45739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45739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45739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45739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45739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45739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45739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45739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45739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45739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45739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45739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45739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45739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45739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45739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45739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45739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45739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45739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45739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45739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45739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45739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45739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45739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45739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45739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45739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45739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45739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45739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45739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45739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45739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45739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45739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45739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45739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45739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45739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45739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45739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45739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45739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45739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45739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45739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45739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45739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45739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45739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45739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45739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45739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45739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45739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45739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45739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45739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45739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45739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45739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45739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45739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45739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45739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45739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45739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45739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45739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45739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45739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45739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45739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45739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45739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45739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45739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45739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45739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45739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45739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45739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45739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45739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45739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45739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45739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45739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45739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45739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45739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45739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45739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45739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45739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45739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45739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45739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45739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45739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45739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45739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45739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45739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45739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45739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45739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45739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45739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45739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45739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45739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45739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45739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45739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45739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45739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45739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45739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45739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45739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45739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45739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45739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45739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45739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45739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45739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45739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45739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45739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45739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45739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45739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45739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45739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45739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45739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45739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45739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45739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45739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45739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45739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45739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45739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45739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45739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45739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45739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45739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45739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45739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45739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45739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45739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45739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45739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45739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45739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45739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45739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45739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45739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45739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45739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45739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45739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45739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45739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45739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45739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45739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45739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45739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45739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45739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45739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45739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45739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45739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45739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45739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45739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45739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45739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45739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45739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45739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45739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45739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45739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45739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45739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45739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45739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45739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45739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45739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45739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45739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45739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45739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45739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45739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45739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45739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45739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45739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45739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45739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45739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45739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45739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45739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45739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45739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45739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45739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45739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45739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45739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45739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45739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45739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45739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45739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45739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45739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45739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45739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45739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45739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45739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45739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45739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45739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45739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45739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45739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45739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45739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45739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45739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45739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45739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45739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45739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45739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45739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45739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45739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45739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45739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45739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45739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45739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45739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45739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45739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45739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45739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45739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45739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45739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45739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45739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45739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45739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45739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45739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45739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45739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45739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45739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45739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45739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45739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45739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45739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45739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45739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45739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45739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45739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45739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45739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45739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45739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45739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45739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45739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45739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45739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45739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45739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45739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45739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45739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45739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45739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45739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45739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45739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45739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45739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45739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45739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45739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45739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45739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45739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45739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45739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45739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45739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45739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45739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45739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45739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45739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45739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45739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45739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45739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45739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45739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45739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45739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45739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45739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45739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45739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45739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45739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45739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45739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45739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45739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45739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45739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45739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45739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45739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45739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45739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45739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45739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45739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45739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45739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45739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45739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45739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45739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45739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45739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45739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45739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45739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45739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45739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45739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45739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45739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45739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45739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45739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45739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45739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45739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45739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45739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45739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45739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45739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45739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45739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45739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45739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45739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45739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45739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45739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45739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45739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45739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45739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45739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45739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45739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45739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45739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45739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45739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45739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45739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45739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45739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45739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45739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45739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45739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45739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45739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45739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45739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45739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45739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45739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45739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45739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45739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45739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45739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45739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45739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45739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45739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45739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45739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45739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45739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45739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45739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45739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45739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45739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45739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45739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45739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45739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45739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45739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45739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45739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45739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45739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45739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45739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45739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45739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45739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45739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45739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45739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45739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45739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45739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45739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45739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45739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45739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45739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45739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45739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45739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45739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45739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45739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45739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45739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45739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45739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45739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45739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45739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45739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45739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45739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45739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45739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45739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45739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45739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45739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45739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45739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45739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45739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45739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45739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45739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45739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45739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45739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45739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45739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45739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45739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45739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45739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45739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45739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45739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45739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45739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45739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45739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45739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45739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45739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45739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45739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45739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45739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45739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45739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45739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45739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45739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45739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45739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45739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45739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45739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45739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45739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45739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45739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45739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45739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45739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45739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45739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45739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45739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45739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45739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45739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45739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45739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45739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45739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45739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45739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45739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45739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45739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45739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45739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45739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45739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45739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45739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45739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45739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45739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45739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45739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45739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45739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45739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45739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45739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45739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45739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45739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45739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45739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45739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45739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45739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45739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45739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45739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45739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45739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45739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45739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45739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45739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45739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45739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45739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45739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45739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45739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45739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45739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45739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45739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45739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45739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45739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45739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45739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45739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45739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45739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45739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45739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45739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45739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45739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45739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45739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45739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45739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45739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45739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45739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45739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45739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45739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45739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45739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45739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45739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45739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45739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45739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45739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45739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45739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45739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45739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45739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45739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45739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45739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45739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45739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45739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45739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45739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45739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45739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45739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45739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45739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45739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45739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45739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45739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45739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45739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45739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45739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45739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45739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45739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45739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45739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45739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45739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45739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45739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45739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45739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45739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45739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45739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45739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45739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45739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45739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45739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45739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45739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45739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45739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45739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45739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45739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45739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45739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45739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45739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45739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45739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45739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45739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45739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45739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45739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45739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45739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45739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45739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45739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45739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45739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45739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45739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45739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45739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45739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45739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45739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45739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45739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45739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45739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45739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45739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45739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45739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45739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45739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45739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45739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45739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45739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45739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45739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45739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45739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45739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45739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45739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45739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45739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45739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45739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45739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45739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45739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52041-2024</t>
        </is>
      </c>
      <c r="B1217" s="1" t="n">
        <v>45608</v>
      </c>
      <c r="C1217" s="1" t="n">
        <v>45739</v>
      </c>
      <c r="D1217" t="inlineStr">
        <is>
          <t>VÄRMLANDS LÄN</t>
        </is>
      </c>
      <c r="E1217" t="inlineStr">
        <is>
          <t>EDA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45739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52034-2024</t>
        </is>
      </c>
      <c r="B1219" s="1" t="n">
        <v>45608</v>
      </c>
      <c r="C1219" s="1" t="n">
        <v>45739</v>
      </c>
      <c r="D1219" t="inlineStr">
        <is>
          <t>VÄRMLANDS LÄN</t>
        </is>
      </c>
      <c r="E1219" t="inlineStr">
        <is>
          <t>EDA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52081-2024</t>
        </is>
      </c>
      <c r="B1220" s="1" t="n">
        <v>45608</v>
      </c>
      <c r="C1220" s="1" t="n">
        <v>45739</v>
      </c>
      <c r="D1220" t="inlineStr">
        <is>
          <t>VÄRMLANDS LÄN</t>
        </is>
      </c>
      <c r="E1220" t="inlineStr">
        <is>
          <t>EDA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45739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45739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45739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45739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53039-2024</t>
        </is>
      </c>
      <c r="B1225" s="1" t="n">
        <v>45611</v>
      </c>
      <c r="C1225" s="1" t="n">
        <v>45739</v>
      </c>
      <c r="D1225" t="inlineStr">
        <is>
          <t>VÄRMLANDS LÄN</t>
        </is>
      </c>
      <c r="E1225" t="inlineStr">
        <is>
          <t>EDA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45739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53030-2024</t>
        </is>
      </c>
      <c r="B1227" s="1" t="n">
        <v>45611</v>
      </c>
      <c r="C1227" s="1" t="n">
        <v>45739</v>
      </c>
      <c r="D1227" t="inlineStr">
        <is>
          <t>VÄRMLANDS LÄN</t>
        </is>
      </c>
      <c r="E1227" t="inlineStr">
        <is>
          <t>EDA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53078-2024</t>
        </is>
      </c>
      <c r="B1228" s="1" t="n">
        <v>45611</v>
      </c>
      <c r="C1228" s="1" t="n">
        <v>45739</v>
      </c>
      <c r="D1228" t="inlineStr">
        <is>
          <t>VÄRMLANDS LÄN</t>
        </is>
      </c>
      <c r="E1228" t="inlineStr">
        <is>
          <t>EDA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53416-2024</t>
        </is>
      </c>
      <c r="B1229" s="1" t="n">
        <v>45614</v>
      </c>
      <c r="C1229" s="1" t="n">
        <v>45739</v>
      </c>
      <c r="D1229" t="inlineStr">
        <is>
          <t>VÄRMLANDS LÄN</t>
        </is>
      </c>
      <c r="E1229" t="inlineStr">
        <is>
          <t>EDA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53639-2024</t>
        </is>
      </c>
      <c r="B1230" s="1" t="n">
        <v>45614</v>
      </c>
      <c r="C1230" s="1" t="n">
        <v>45739</v>
      </c>
      <c r="D1230" t="inlineStr">
        <is>
          <t>VÄRMLANDS LÄN</t>
        </is>
      </c>
      <c r="E1230" t="inlineStr">
        <is>
          <t>EDA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53414-2024</t>
        </is>
      </c>
      <c r="B1231" s="1" t="n">
        <v>45614</v>
      </c>
      <c r="C1231" s="1" t="n">
        <v>45739</v>
      </c>
      <c r="D1231" t="inlineStr">
        <is>
          <t>VÄRMLANDS LÄN</t>
        </is>
      </c>
      <c r="E1231" t="inlineStr">
        <is>
          <t>EDA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53401-2024</t>
        </is>
      </c>
      <c r="B1232" s="1" t="n">
        <v>45614</v>
      </c>
      <c r="C1232" s="1" t="n">
        <v>45739</v>
      </c>
      <c r="D1232" t="inlineStr">
        <is>
          <t>VÄRMLANDS LÄN</t>
        </is>
      </c>
      <c r="E1232" t="inlineStr">
        <is>
          <t>EDA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53799-2024</t>
        </is>
      </c>
      <c r="B1233" s="1" t="n">
        <v>45615</v>
      </c>
      <c r="C1233" s="1" t="n">
        <v>45739</v>
      </c>
      <c r="D1233" t="inlineStr">
        <is>
          <t>VÄRMLANDS LÄN</t>
        </is>
      </c>
      <c r="E1233" t="inlineStr">
        <is>
          <t>EDA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53747-2024</t>
        </is>
      </c>
      <c r="B1234" s="1" t="n">
        <v>45615</v>
      </c>
      <c r="C1234" s="1" t="n">
        <v>45739</v>
      </c>
      <c r="D1234" t="inlineStr">
        <is>
          <t>VÄRMLANDS LÄN</t>
        </is>
      </c>
      <c r="E1234" t="inlineStr">
        <is>
          <t>EDA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53697-2024</t>
        </is>
      </c>
      <c r="B1235" s="1" t="n">
        <v>45615</v>
      </c>
      <c r="C1235" s="1" t="n">
        <v>45739</v>
      </c>
      <c r="D1235" t="inlineStr">
        <is>
          <t>VÄRMLANDS LÄN</t>
        </is>
      </c>
      <c r="E1235" t="inlineStr">
        <is>
          <t>EDA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54173-2024</t>
        </is>
      </c>
      <c r="B1236" s="1" t="n">
        <v>45616</v>
      </c>
      <c r="C1236" s="1" t="n">
        <v>45739</v>
      </c>
      <c r="D1236" t="inlineStr">
        <is>
          <t>VÄRMLANDS LÄN</t>
        </is>
      </c>
      <c r="E1236" t="inlineStr">
        <is>
          <t>EDA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53961-2024</t>
        </is>
      </c>
      <c r="B1237" s="1" t="n">
        <v>45616</v>
      </c>
      <c r="C1237" s="1" t="n">
        <v>45739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53965-2024</t>
        </is>
      </c>
      <c r="B1238" s="1" t="n">
        <v>45616</v>
      </c>
      <c r="C1238" s="1" t="n">
        <v>45739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54481-2024</t>
        </is>
      </c>
      <c r="B1239" s="1" t="n">
        <v>45617</v>
      </c>
      <c r="C1239" s="1" t="n">
        <v>45739</v>
      </c>
      <c r="D1239" t="inlineStr">
        <is>
          <t>VÄRMLANDS LÄN</t>
        </is>
      </c>
      <c r="E1239" t="inlineStr">
        <is>
          <t>EDA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54787-2024</t>
        </is>
      </c>
      <c r="B1240" s="1" t="n">
        <v>45618</v>
      </c>
      <c r="C1240" s="1" t="n">
        <v>45739</v>
      </c>
      <c r="D1240" t="inlineStr">
        <is>
          <t>VÄRMLANDS LÄN</t>
        </is>
      </c>
      <c r="E1240" t="inlineStr">
        <is>
          <t>EDA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55096-2024</t>
        </is>
      </c>
      <c r="B1241" s="1" t="n">
        <v>45621</v>
      </c>
      <c r="C1241" s="1" t="n">
        <v>45739</v>
      </c>
      <c r="D1241" t="inlineStr">
        <is>
          <t>VÄRMLANDS LÄN</t>
        </is>
      </c>
      <c r="E1241" t="inlineStr">
        <is>
          <t>EDA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55095-2024</t>
        </is>
      </c>
      <c r="B1242" s="1" t="n">
        <v>45621</v>
      </c>
      <c r="C1242" s="1" t="n">
        <v>45739</v>
      </c>
      <c r="D1242" t="inlineStr">
        <is>
          <t>VÄRMLANDS LÄN</t>
        </is>
      </c>
      <c r="E1242" t="inlineStr">
        <is>
          <t>EDA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55288-2024</t>
        </is>
      </c>
      <c r="B1243" s="1" t="n">
        <v>45621</v>
      </c>
      <c r="C1243" s="1" t="n">
        <v>45739</v>
      </c>
      <c r="D1243" t="inlineStr">
        <is>
          <t>VÄRMLANDS LÄN</t>
        </is>
      </c>
      <c r="E1243" t="inlineStr">
        <is>
          <t>EDA</t>
        </is>
      </c>
      <c r="F1243" t="inlineStr">
        <is>
          <t>Bergvik skog väst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55735-2024</t>
        </is>
      </c>
      <c r="B1244" s="1" t="n">
        <v>45622</v>
      </c>
      <c r="C1244" s="1" t="n">
        <v>45739</v>
      </c>
      <c r="D1244" t="inlineStr">
        <is>
          <t>VÄRMLANDS LÄN</t>
        </is>
      </c>
      <c r="E1244" t="inlineStr">
        <is>
          <t>EDA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55810-2024</t>
        </is>
      </c>
      <c r="B1245" s="1" t="n">
        <v>45623</v>
      </c>
      <c r="C1245" s="1" t="n">
        <v>45739</v>
      </c>
      <c r="D1245" t="inlineStr">
        <is>
          <t>VÄRMLANDS LÄN</t>
        </is>
      </c>
      <c r="E1245" t="inlineStr">
        <is>
          <t>EDA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55899-2024</t>
        </is>
      </c>
      <c r="B1246" s="1" t="n">
        <v>45623</v>
      </c>
      <c r="C1246" s="1" t="n">
        <v>45739</v>
      </c>
      <c r="D1246" t="inlineStr">
        <is>
          <t>VÄRMLANDS LÄN</t>
        </is>
      </c>
      <c r="E1246" t="inlineStr">
        <is>
          <t>EDA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55913-2024</t>
        </is>
      </c>
      <c r="B1247" s="1" t="n">
        <v>45623</v>
      </c>
      <c r="C1247" s="1" t="n">
        <v>45739</v>
      </c>
      <c r="D1247" t="inlineStr">
        <is>
          <t>VÄRMLANDS LÄN</t>
        </is>
      </c>
      <c r="E1247" t="inlineStr">
        <is>
          <t>EDA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55903-2024</t>
        </is>
      </c>
      <c r="B1248" s="1" t="n">
        <v>45623</v>
      </c>
      <c r="C1248" s="1" t="n">
        <v>45739</v>
      </c>
      <c r="D1248" t="inlineStr">
        <is>
          <t>VÄRMLANDS LÄN</t>
        </is>
      </c>
      <c r="E1248" t="inlineStr">
        <is>
          <t>EDA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55921-2024</t>
        </is>
      </c>
      <c r="B1249" s="1" t="n">
        <v>45623</v>
      </c>
      <c r="C1249" s="1" t="n">
        <v>45739</v>
      </c>
      <c r="D1249" t="inlineStr">
        <is>
          <t>VÄRMLANDS LÄN</t>
        </is>
      </c>
      <c r="E1249" t="inlineStr">
        <is>
          <t>EDA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56146-2024</t>
        </is>
      </c>
      <c r="B1250" s="1" t="n">
        <v>45624</v>
      </c>
      <c r="C1250" s="1" t="n">
        <v>45739</v>
      </c>
      <c r="D1250" t="inlineStr">
        <is>
          <t>VÄRMLANDS LÄN</t>
        </is>
      </c>
      <c r="E1250" t="inlineStr">
        <is>
          <t>EDA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56469-2024</t>
        </is>
      </c>
      <c r="B1251" s="1" t="n">
        <v>45625</v>
      </c>
      <c r="C1251" s="1" t="n">
        <v>45739</v>
      </c>
      <c r="D1251" t="inlineStr">
        <is>
          <t>VÄRMLANDS LÄN</t>
        </is>
      </c>
      <c r="E1251" t="inlineStr">
        <is>
          <t>EDA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56715-2024</t>
        </is>
      </c>
      <c r="B1252" s="1" t="n">
        <v>45628</v>
      </c>
      <c r="C1252" s="1" t="n">
        <v>45739</v>
      </c>
      <c r="D1252" t="inlineStr">
        <is>
          <t>VÄRMLANDS LÄN</t>
        </is>
      </c>
      <c r="E1252" t="inlineStr">
        <is>
          <t>EDA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56719-2024</t>
        </is>
      </c>
      <c r="B1253" s="1" t="n">
        <v>45628</v>
      </c>
      <c r="C1253" s="1" t="n">
        <v>45739</v>
      </c>
      <c r="D1253" t="inlineStr">
        <is>
          <t>VÄRMLANDS LÄN</t>
        </is>
      </c>
      <c r="E1253" t="inlineStr">
        <is>
          <t>EDA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56971-2024</t>
        </is>
      </c>
      <c r="B1254" s="1" t="n">
        <v>45628</v>
      </c>
      <c r="C1254" s="1" t="n">
        <v>45739</v>
      </c>
      <c r="D1254" t="inlineStr">
        <is>
          <t>VÄRMLANDS LÄN</t>
        </is>
      </c>
      <c r="E1254" t="inlineStr">
        <is>
          <t>EDA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57323-2024</t>
        </is>
      </c>
      <c r="B1255" s="1" t="n">
        <v>45629</v>
      </c>
      <c r="C1255" s="1" t="n">
        <v>45739</v>
      </c>
      <c r="D1255" t="inlineStr">
        <is>
          <t>VÄRMLANDS LÄN</t>
        </is>
      </c>
      <c r="E1255" t="inlineStr">
        <is>
          <t>EDA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57257-2024</t>
        </is>
      </c>
      <c r="B1256" s="1" t="n">
        <v>45629</v>
      </c>
      <c r="C1256" s="1" t="n">
        <v>45739</v>
      </c>
      <c r="D1256" t="inlineStr">
        <is>
          <t>VÄRMLANDS LÄN</t>
        </is>
      </c>
      <c r="E1256" t="inlineStr">
        <is>
          <t>EDA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57314-2024</t>
        </is>
      </c>
      <c r="B1257" s="1" t="n">
        <v>45629</v>
      </c>
      <c r="C1257" s="1" t="n">
        <v>45739</v>
      </c>
      <c r="D1257" t="inlineStr">
        <is>
          <t>VÄRMLANDS LÄN</t>
        </is>
      </c>
      <c r="E1257" t="inlineStr">
        <is>
          <t>EDA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57354-2024</t>
        </is>
      </c>
      <c r="B1258" s="1" t="n">
        <v>45629</v>
      </c>
      <c r="C1258" s="1" t="n">
        <v>45739</v>
      </c>
      <c r="D1258" t="inlineStr">
        <is>
          <t>VÄRMLANDS LÄN</t>
        </is>
      </c>
      <c r="E1258" t="inlineStr">
        <is>
          <t>EDA</t>
        </is>
      </c>
      <c r="F1258" t="inlineStr">
        <is>
          <t>Bergvik skog väst AB</t>
        </is>
      </c>
      <c r="G1258" t="n">
        <v>12.7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57293-2024</t>
        </is>
      </c>
      <c r="B1259" s="1" t="n">
        <v>45629</v>
      </c>
      <c r="C1259" s="1" t="n">
        <v>45739</v>
      </c>
      <c r="D1259" t="inlineStr">
        <is>
          <t>VÄRMLANDS LÄN</t>
        </is>
      </c>
      <c r="E1259" t="inlineStr">
        <is>
          <t>EDA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57624-2024</t>
        </is>
      </c>
      <c r="B1260" s="1" t="n">
        <v>45630</v>
      </c>
      <c r="C1260" s="1" t="n">
        <v>45739</v>
      </c>
      <c r="D1260" t="inlineStr">
        <is>
          <t>VÄRMLANDS LÄN</t>
        </is>
      </c>
      <c r="E1260" t="inlineStr">
        <is>
          <t>EDA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57682-2024</t>
        </is>
      </c>
      <c r="B1261" s="1" t="n">
        <v>45630</v>
      </c>
      <c r="C1261" s="1" t="n">
        <v>45739</v>
      </c>
      <c r="D1261" t="inlineStr">
        <is>
          <t>VÄRMLANDS LÄN</t>
        </is>
      </c>
      <c r="E1261" t="inlineStr">
        <is>
          <t>EDA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57912-2024</t>
        </is>
      </c>
      <c r="B1262" s="1" t="n">
        <v>45631</v>
      </c>
      <c r="C1262" s="1" t="n">
        <v>45739</v>
      </c>
      <c r="D1262" t="inlineStr">
        <is>
          <t>VÄRMLANDS LÄN</t>
        </is>
      </c>
      <c r="E1262" t="inlineStr">
        <is>
          <t>EDA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57966-2024</t>
        </is>
      </c>
      <c r="B1263" s="1" t="n">
        <v>45631</v>
      </c>
      <c r="C1263" s="1" t="n">
        <v>45739</v>
      </c>
      <c r="D1263" t="inlineStr">
        <is>
          <t>VÄRMLANDS LÄN</t>
        </is>
      </c>
      <c r="E1263" t="inlineStr">
        <is>
          <t>EDA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58186-2024</t>
        </is>
      </c>
      <c r="B1264" s="1" t="n">
        <v>45632</v>
      </c>
      <c r="C1264" s="1" t="n">
        <v>45739</v>
      </c>
      <c r="D1264" t="inlineStr">
        <is>
          <t>VÄRMLANDS LÄN</t>
        </is>
      </c>
      <c r="E1264" t="inlineStr">
        <is>
          <t>EDA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58194-2024</t>
        </is>
      </c>
      <c r="B1265" s="1" t="n">
        <v>45632</v>
      </c>
      <c r="C1265" s="1" t="n">
        <v>45739</v>
      </c>
      <c r="D1265" t="inlineStr">
        <is>
          <t>VÄRMLANDS LÄN</t>
        </is>
      </c>
      <c r="E1265" t="inlineStr">
        <is>
          <t>EDA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58195-2024</t>
        </is>
      </c>
      <c r="B1266" s="1" t="n">
        <v>45632</v>
      </c>
      <c r="C1266" s="1" t="n">
        <v>45739</v>
      </c>
      <c r="D1266" t="inlineStr">
        <is>
          <t>VÄRMLANDS LÄN</t>
        </is>
      </c>
      <c r="E1266" t="inlineStr">
        <is>
          <t>EDA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58181-2024</t>
        </is>
      </c>
      <c r="B1267" s="1" t="n">
        <v>45632</v>
      </c>
      <c r="C1267" s="1" t="n">
        <v>45739</v>
      </c>
      <c r="D1267" t="inlineStr">
        <is>
          <t>VÄRMLANDS LÄN</t>
        </is>
      </c>
      <c r="E1267" t="inlineStr">
        <is>
          <t>EDA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58576-2024</t>
        </is>
      </c>
      <c r="B1268" s="1" t="n">
        <v>45635</v>
      </c>
      <c r="C1268" s="1" t="n">
        <v>45739</v>
      </c>
      <c r="D1268" t="inlineStr">
        <is>
          <t>VÄRMLANDS LÄN</t>
        </is>
      </c>
      <c r="E1268" t="inlineStr">
        <is>
          <t>EDA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58682-2024</t>
        </is>
      </c>
      <c r="B1269" s="1" t="n">
        <v>45635</v>
      </c>
      <c r="C1269" s="1" t="n">
        <v>45739</v>
      </c>
      <c r="D1269" t="inlineStr">
        <is>
          <t>VÄRMLANDS LÄN</t>
        </is>
      </c>
      <c r="E1269" t="inlineStr">
        <is>
          <t>EDA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58964-2024</t>
        </is>
      </c>
      <c r="B1270" s="1" t="n">
        <v>45636</v>
      </c>
      <c r="C1270" s="1" t="n">
        <v>45739</v>
      </c>
      <c r="D1270" t="inlineStr">
        <is>
          <t>VÄRMLANDS LÄN</t>
        </is>
      </c>
      <c r="E1270" t="inlineStr">
        <is>
          <t>EDA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58815-2024</t>
        </is>
      </c>
      <c r="B1271" s="1" t="n">
        <v>45636</v>
      </c>
      <c r="C1271" s="1" t="n">
        <v>45739</v>
      </c>
      <c r="D1271" t="inlineStr">
        <is>
          <t>VÄRMLANDS LÄN</t>
        </is>
      </c>
      <c r="E1271" t="inlineStr">
        <is>
          <t>EDA</t>
        </is>
      </c>
      <c r="F1271" t="inlineStr">
        <is>
          <t>Bergvik skog väst AB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59515-2024</t>
        </is>
      </c>
      <c r="B1272" s="1" t="n">
        <v>45638</v>
      </c>
      <c r="C1272" s="1" t="n">
        <v>45739</v>
      </c>
      <c r="D1272" t="inlineStr">
        <is>
          <t>VÄRMLANDS LÄN</t>
        </is>
      </c>
      <c r="E1272" t="inlineStr">
        <is>
          <t>EDA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59645-2024</t>
        </is>
      </c>
      <c r="B1273" s="1" t="n">
        <v>45639</v>
      </c>
      <c r="C1273" s="1" t="n">
        <v>45739</v>
      </c>
      <c r="D1273" t="inlineStr">
        <is>
          <t>VÄRMLANDS LÄN</t>
        </is>
      </c>
      <c r="E1273" t="inlineStr">
        <is>
          <t>EDA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60145-2024</t>
        </is>
      </c>
      <c r="B1274" s="1" t="n">
        <v>45642</v>
      </c>
      <c r="C1274" s="1" t="n">
        <v>45739</v>
      </c>
      <c r="D1274" t="inlineStr">
        <is>
          <t>VÄRMLANDS LÄN</t>
        </is>
      </c>
      <c r="E1274" t="inlineStr">
        <is>
          <t>EDA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60049-2024</t>
        </is>
      </c>
      <c r="B1275" s="1" t="n">
        <v>45642</v>
      </c>
      <c r="C1275" s="1" t="n">
        <v>45739</v>
      </c>
      <c r="D1275" t="inlineStr">
        <is>
          <t>VÄRMLANDS LÄN</t>
        </is>
      </c>
      <c r="E1275" t="inlineStr">
        <is>
          <t>EDA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60352-2024</t>
        </is>
      </c>
      <c r="B1276" s="1" t="n">
        <v>45643</v>
      </c>
      <c r="C1276" s="1" t="n">
        <v>45739</v>
      </c>
      <c r="D1276" t="inlineStr">
        <is>
          <t>VÄRMLANDS LÄN</t>
        </is>
      </c>
      <c r="E1276" t="inlineStr">
        <is>
          <t>EDA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60963-2024</t>
        </is>
      </c>
      <c r="B1277" s="1" t="n">
        <v>45645</v>
      </c>
      <c r="C1277" s="1" t="n">
        <v>45739</v>
      </c>
      <c r="D1277" t="inlineStr">
        <is>
          <t>VÄRMLANDS LÄN</t>
        </is>
      </c>
      <c r="E1277" t="inlineStr">
        <is>
          <t>EDA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61310-2024</t>
        </is>
      </c>
      <c r="B1278" s="1" t="n">
        <v>45646</v>
      </c>
      <c r="C1278" s="1" t="n">
        <v>45739</v>
      </c>
      <c r="D1278" t="inlineStr">
        <is>
          <t>VÄRMLANDS LÄN</t>
        </is>
      </c>
      <c r="E1278" t="inlineStr">
        <is>
          <t>EDA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61472-2024</t>
        </is>
      </c>
      <c r="B1279" s="1" t="n">
        <v>45646</v>
      </c>
      <c r="C1279" s="1" t="n">
        <v>45739</v>
      </c>
      <c r="D1279" t="inlineStr">
        <is>
          <t>VÄRMLANDS LÄN</t>
        </is>
      </c>
      <c r="E1279" t="inlineStr">
        <is>
          <t>EDA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61477-2024</t>
        </is>
      </c>
      <c r="B1280" s="1" t="n">
        <v>45646</v>
      </c>
      <c r="C1280" s="1" t="n">
        <v>45739</v>
      </c>
      <c r="D1280" t="inlineStr">
        <is>
          <t>VÄRMLANDS LÄN</t>
        </is>
      </c>
      <c r="E1280" t="inlineStr">
        <is>
          <t>EDA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61311-2024</t>
        </is>
      </c>
      <c r="B1281" s="1" t="n">
        <v>45646</v>
      </c>
      <c r="C1281" s="1" t="n">
        <v>45739</v>
      </c>
      <c r="D1281" t="inlineStr">
        <is>
          <t>VÄRMLANDS LÄN</t>
        </is>
      </c>
      <c r="E1281" t="inlineStr">
        <is>
          <t>EDA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61381-2024</t>
        </is>
      </c>
      <c r="B1282" s="1" t="n">
        <v>45646</v>
      </c>
      <c r="C1282" s="1" t="n">
        <v>45739</v>
      </c>
      <c r="D1282" t="inlineStr">
        <is>
          <t>VÄRMLANDS LÄN</t>
        </is>
      </c>
      <c r="E1282" t="inlineStr">
        <is>
          <t>EDA</t>
        </is>
      </c>
      <c r="G1282" t="n">
        <v>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61413-2024</t>
        </is>
      </c>
      <c r="B1283" s="1" t="n">
        <v>45646</v>
      </c>
      <c r="C1283" s="1" t="n">
        <v>45739</v>
      </c>
      <c r="D1283" t="inlineStr">
        <is>
          <t>VÄRMLANDS LÄN</t>
        </is>
      </c>
      <c r="E1283" t="inlineStr">
        <is>
          <t>EDA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61791-2024</t>
        </is>
      </c>
      <c r="B1284" s="1" t="n">
        <v>45649</v>
      </c>
      <c r="C1284" s="1" t="n">
        <v>45739</v>
      </c>
      <c r="D1284" t="inlineStr">
        <is>
          <t>VÄRMLANDS LÄN</t>
        </is>
      </c>
      <c r="E1284" t="inlineStr">
        <is>
          <t>EDA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61939-2024</t>
        </is>
      </c>
      <c r="B1285" s="1" t="n">
        <v>45653</v>
      </c>
      <c r="C1285" s="1" t="n">
        <v>45739</v>
      </c>
      <c r="D1285" t="inlineStr">
        <is>
          <t>VÄRMLANDS LÄN</t>
        </is>
      </c>
      <c r="E1285" t="inlineStr">
        <is>
          <t>EDA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61901-2024</t>
        </is>
      </c>
      <c r="B1286" s="1" t="n">
        <v>45653</v>
      </c>
      <c r="C1286" s="1" t="n">
        <v>45739</v>
      </c>
      <c r="D1286" t="inlineStr">
        <is>
          <t>VÄRMLANDS LÄN</t>
        </is>
      </c>
      <c r="E1286" t="inlineStr">
        <is>
          <t>EDA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61999-2024</t>
        </is>
      </c>
      <c r="B1287" s="1" t="n">
        <v>45654</v>
      </c>
      <c r="C1287" s="1" t="n">
        <v>45739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73-2025</t>
        </is>
      </c>
      <c r="B1288" s="1" t="n">
        <v>45659</v>
      </c>
      <c r="C1288" s="1" t="n">
        <v>45739</v>
      </c>
      <c r="D1288" t="inlineStr">
        <is>
          <t>VÄRMLANDS LÄN</t>
        </is>
      </c>
      <c r="E1288" t="inlineStr">
        <is>
          <t>EDA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384-2025</t>
        </is>
      </c>
      <c r="B1289" s="1" t="n">
        <v>45662</v>
      </c>
      <c r="C1289" s="1" t="n">
        <v>45739</v>
      </c>
      <c r="D1289" t="inlineStr">
        <is>
          <t>VÄRMLANDS LÄN</t>
        </is>
      </c>
      <c r="E1289" t="inlineStr">
        <is>
          <t>EDA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885-2025</t>
        </is>
      </c>
      <c r="B1290" s="1" t="n">
        <v>45665</v>
      </c>
      <c r="C1290" s="1" t="n">
        <v>45739</v>
      </c>
      <c r="D1290" t="inlineStr">
        <is>
          <t>VÄRMLANDS LÄN</t>
        </is>
      </c>
      <c r="E1290" t="inlineStr">
        <is>
          <t>EDA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1893-2025</t>
        </is>
      </c>
      <c r="B1291" s="1" t="n">
        <v>45671</v>
      </c>
      <c r="C1291" s="1" t="n">
        <v>45739</v>
      </c>
      <c r="D1291" t="inlineStr">
        <is>
          <t>VÄRMLANDS LÄN</t>
        </is>
      </c>
      <c r="E1291" t="inlineStr">
        <is>
          <t>EDA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1900-2025</t>
        </is>
      </c>
      <c r="B1292" s="1" t="n">
        <v>45671</v>
      </c>
      <c r="C1292" s="1" t="n">
        <v>45739</v>
      </c>
      <c r="D1292" t="inlineStr">
        <is>
          <t>VÄRMLANDS LÄN</t>
        </is>
      </c>
      <c r="E1292" t="inlineStr">
        <is>
          <t>EDA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1976-2025</t>
        </is>
      </c>
      <c r="B1293" s="1" t="n">
        <v>45672</v>
      </c>
      <c r="C1293" s="1" t="n">
        <v>45739</v>
      </c>
      <c r="D1293" t="inlineStr">
        <is>
          <t>VÄRMLANDS LÄN</t>
        </is>
      </c>
      <c r="E1293" t="inlineStr">
        <is>
          <t>EDA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2334-2025</t>
        </is>
      </c>
      <c r="B1294" s="1" t="n">
        <v>45673</v>
      </c>
      <c r="C1294" s="1" t="n">
        <v>45739</v>
      </c>
      <c r="D1294" t="inlineStr">
        <is>
          <t>VÄRMLANDS LÄN</t>
        </is>
      </c>
      <c r="E1294" t="inlineStr">
        <is>
          <t>EDA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2389-2025</t>
        </is>
      </c>
      <c r="B1295" s="1" t="n">
        <v>45674</v>
      </c>
      <c r="C1295" s="1" t="n">
        <v>45739</v>
      </c>
      <c r="D1295" t="inlineStr">
        <is>
          <t>VÄRMLANDS LÄN</t>
        </is>
      </c>
      <c r="E1295" t="inlineStr">
        <is>
          <t>EDA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2650-2025</t>
        </is>
      </c>
      <c r="B1296" s="1" t="n">
        <v>45676</v>
      </c>
      <c r="C1296" s="1" t="n">
        <v>45739</v>
      </c>
      <c r="D1296" t="inlineStr">
        <is>
          <t>VÄRMLANDS LÄN</t>
        </is>
      </c>
      <c r="E1296" t="inlineStr">
        <is>
          <t>EDA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2912-2025</t>
        </is>
      </c>
      <c r="B1297" s="1" t="n">
        <v>45677</v>
      </c>
      <c r="C1297" s="1" t="n">
        <v>45739</v>
      </c>
      <c r="D1297" t="inlineStr">
        <is>
          <t>VÄRMLANDS LÄN</t>
        </is>
      </c>
      <c r="E1297" t="inlineStr">
        <is>
          <t>EDA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3374-2025</t>
        </is>
      </c>
      <c r="B1298" s="1" t="n">
        <v>45680</v>
      </c>
      <c r="C1298" s="1" t="n">
        <v>45739</v>
      </c>
      <c r="D1298" t="inlineStr">
        <is>
          <t>VÄRMLANDS LÄN</t>
        </is>
      </c>
      <c r="E1298" t="inlineStr">
        <is>
          <t>EDA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3568-2025</t>
        </is>
      </c>
      <c r="B1299" s="1" t="n">
        <v>45680</v>
      </c>
      <c r="C1299" s="1" t="n">
        <v>45739</v>
      </c>
      <c r="D1299" t="inlineStr">
        <is>
          <t>VÄRMLANDS LÄN</t>
        </is>
      </c>
      <c r="E1299" t="inlineStr">
        <is>
          <t>EDA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3434-2025</t>
        </is>
      </c>
      <c r="B1300" s="1" t="n">
        <v>45680</v>
      </c>
      <c r="C1300" s="1" t="n">
        <v>45739</v>
      </c>
      <c r="D1300" t="inlineStr">
        <is>
          <t>VÄRMLANDS LÄN</t>
        </is>
      </c>
      <c r="E1300" t="inlineStr">
        <is>
          <t>EDA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3775-2025</t>
        </is>
      </c>
      <c r="B1301" s="1" t="n">
        <v>45681</v>
      </c>
      <c r="C1301" s="1" t="n">
        <v>45739</v>
      </c>
      <c r="D1301" t="inlineStr">
        <is>
          <t>VÄRMLANDS LÄN</t>
        </is>
      </c>
      <c r="E1301" t="inlineStr">
        <is>
          <t>EDA</t>
        </is>
      </c>
      <c r="F1301" t="inlineStr">
        <is>
          <t>Kommuner</t>
        </is>
      </c>
      <c r="G1301" t="n">
        <v>8.300000000000001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3766-2025</t>
        </is>
      </c>
      <c r="B1302" s="1" t="n">
        <v>45681</v>
      </c>
      <c r="C1302" s="1" t="n">
        <v>45739</v>
      </c>
      <c r="D1302" t="inlineStr">
        <is>
          <t>VÄRMLANDS LÄN</t>
        </is>
      </c>
      <c r="E1302" t="inlineStr">
        <is>
          <t>EDA</t>
        </is>
      </c>
      <c r="F1302" t="inlineStr">
        <is>
          <t>Kommuner</t>
        </is>
      </c>
      <c r="G1302" t="n">
        <v>7.9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3975-2025</t>
        </is>
      </c>
      <c r="B1303" s="1" t="n">
        <v>45684</v>
      </c>
      <c r="C1303" s="1" t="n">
        <v>45739</v>
      </c>
      <c r="D1303" t="inlineStr">
        <is>
          <t>VÄRMLANDS LÄN</t>
        </is>
      </c>
      <c r="E1303" t="inlineStr">
        <is>
          <t>EDA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3992-2025</t>
        </is>
      </c>
      <c r="B1304" s="1" t="n">
        <v>45684</v>
      </c>
      <c r="C1304" s="1" t="n">
        <v>45739</v>
      </c>
      <c r="D1304" t="inlineStr">
        <is>
          <t>VÄRMLANDS LÄN</t>
        </is>
      </c>
      <c r="E1304" t="inlineStr">
        <is>
          <t>EDA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4140-2025</t>
        </is>
      </c>
      <c r="B1305" s="1" t="n">
        <v>45685</v>
      </c>
      <c r="C1305" s="1" t="n">
        <v>45739</v>
      </c>
      <c r="D1305" t="inlineStr">
        <is>
          <t>VÄRMLANDS LÄN</t>
        </is>
      </c>
      <c r="E1305" t="inlineStr">
        <is>
          <t>EDA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5081-2025</t>
        </is>
      </c>
      <c r="B1306" s="1" t="n">
        <v>45691</v>
      </c>
      <c r="C1306" s="1" t="n">
        <v>45739</v>
      </c>
      <c r="D1306" t="inlineStr">
        <is>
          <t>VÄRMLANDS LÄN</t>
        </is>
      </c>
      <c r="E1306" t="inlineStr">
        <is>
          <t>EDA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5043-2025</t>
        </is>
      </c>
      <c r="B1307" s="1" t="n">
        <v>45691</v>
      </c>
      <c r="C1307" s="1" t="n">
        <v>45739</v>
      </c>
      <c r="D1307" t="inlineStr">
        <is>
          <t>VÄRMLANDS LÄN</t>
        </is>
      </c>
      <c r="E1307" t="inlineStr">
        <is>
          <t>EDA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5044-2025</t>
        </is>
      </c>
      <c r="B1308" s="1" t="n">
        <v>45691</v>
      </c>
      <c r="C1308" s="1" t="n">
        <v>45739</v>
      </c>
      <c r="D1308" t="inlineStr">
        <is>
          <t>VÄRMLANDS LÄN</t>
        </is>
      </c>
      <c r="E1308" t="inlineStr">
        <is>
          <t>EDA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5432-2025</t>
        </is>
      </c>
      <c r="B1309" s="1" t="n">
        <v>45692</v>
      </c>
      <c r="C1309" s="1" t="n">
        <v>45739</v>
      </c>
      <c r="D1309" t="inlineStr">
        <is>
          <t>VÄRMLANDS LÄN</t>
        </is>
      </c>
      <c r="E1309" t="inlineStr">
        <is>
          <t>EDA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5431-2025</t>
        </is>
      </c>
      <c r="B1310" s="1" t="n">
        <v>45692</v>
      </c>
      <c r="C1310" s="1" t="n">
        <v>45739</v>
      </c>
      <c r="D1310" t="inlineStr">
        <is>
          <t>VÄRMLANDS LÄN</t>
        </is>
      </c>
      <c r="E1310" t="inlineStr">
        <is>
          <t>EDA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5669-2025</t>
        </is>
      </c>
      <c r="B1311" s="1" t="n">
        <v>45693</v>
      </c>
      <c r="C1311" s="1" t="n">
        <v>45739</v>
      </c>
      <c r="D1311" t="inlineStr">
        <is>
          <t>VÄRMLANDS LÄN</t>
        </is>
      </c>
      <c r="E1311" t="inlineStr">
        <is>
          <t>EDA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5737-2025</t>
        </is>
      </c>
      <c r="B1312" s="1" t="n">
        <v>45694</v>
      </c>
      <c r="C1312" s="1" t="n">
        <v>45739</v>
      </c>
      <c r="D1312" t="inlineStr">
        <is>
          <t>VÄRMLANDS LÄN</t>
        </is>
      </c>
      <c r="E1312" t="inlineStr">
        <is>
          <t>EDA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5693-2025</t>
        </is>
      </c>
      <c r="B1313" s="1" t="n">
        <v>45694</v>
      </c>
      <c r="C1313" s="1" t="n">
        <v>45739</v>
      </c>
      <c r="D1313" t="inlineStr">
        <is>
          <t>VÄRMLANDS LÄN</t>
        </is>
      </c>
      <c r="E1313" t="inlineStr">
        <is>
          <t>EDA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5695-2025</t>
        </is>
      </c>
      <c r="B1314" s="1" t="n">
        <v>45694</v>
      </c>
      <c r="C1314" s="1" t="n">
        <v>45739</v>
      </c>
      <c r="D1314" t="inlineStr">
        <is>
          <t>VÄRMLANDS LÄN</t>
        </is>
      </c>
      <c r="E1314" t="inlineStr">
        <is>
          <t>EDA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5736-2025</t>
        </is>
      </c>
      <c r="B1315" s="1" t="n">
        <v>45694</v>
      </c>
      <c r="C1315" s="1" t="n">
        <v>45739</v>
      </c>
      <c r="D1315" t="inlineStr">
        <is>
          <t>VÄRMLANDS LÄN</t>
        </is>
      </c>
      <c r="E1315" t="inlineStr">
        <is>
          <t>EDA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5735-2025</t>
        </is>
      </c>
      <c r="B1316" s="1" t="n">
        <v>45694</v>
      </c>
      <c r="C1316" s="1" t="n">
        <v>45739</v>
      </c>
      <c r="D1316" t="inlineStr">
        <is>
          <t>VÄRMLANDS LÄN</t>
        </is>
      </c>
      <c r="E1316" t="inlineStr">
        <is>
          <t>EDA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5739-2025</t>
        </is>
      </c>
      <c r="B1317" s="1" t="n">
        <v>45694</v>
      </c>
      <c r="C1317" s="1" t="n">
        <v>45739</v>
      </c>
      <c r="D1317" t="inlineStr">
        <is>
          <t>VÄRMLANDS LÄN</t>
        </is>
      </c>
      <c r="E1317" t="inlineStr">
        <is>
          <t>EDA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6131-2025</t>
        </is>
      </c>
      <c r="B1318" s="1" t="n">
        <v>45698</v>
      </c>
      <c r="C1318" s="1" t="n">
        <v>45739</v>
      </c>
      <c r="D1318" t="inlineStr">
        <is>
          <t>VÄRMLANDS LÄN</t>
        </is>
      </c>
      <c r="E1318" t="inlineStr">
        <is>
          <t>EDA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7106-2025</t>
        </is>
      </c>
      <c r="B1319" s="1" t="n">
        <v>45701</v>
      </c>
      <c r="C1319" s="1" t="n">
        <v>45739</v>
      </c>
      <c r="D1319" t="inlineStr">
        <is>
          <t>VÄRMLANDS LÄN</t>
        </is>
      </c>
      <c r="E1319" t="inlineStr">
        <is>
          <t>EDA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7367-2025</t>
        </is>
      </c>
      <c r="B1320" s="1" t="n">
        <v>45704</v>
      </c>
      <c r="C1320" s="1" t="n">
        <v>45739</v>
      </c>
      <c r="D1320" t="inlineStr">
        <is>
          <t>VÄRMLANDS LÄN</t>
        </is>
      </c>
      <c r="E1320" t="inlineStr">
        <is>
          <t>EDA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9179-2025</t>
        </is>
      </c>
      <c r="B1321" s="1" t="n">
        <v>45714</v>
      </c>
      <c r="C1321" s="1" t="n">
        <v>45739</v>
      </c>
      <c r="D1321" t="inlineStr">
        <is>
          <t>VÄRMLANDS LÄN</t>
        </is>
      </c>
      <c r="E1321" t="inlineStr">
        <is>
          <t>EDA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9221-2025</t>
        </is>
      </c>
      <c r="B1322" s="1" t="n">
        <v>45714</v>
      </c>
      <c r="C1322" s="1" t="n">
        <v>45739</v>
      </c>
      <c r="D1322" t="inlineStr">
        <is>
          <t>VÄRMLANDS LÄN</t>
        </is>
      </c>
      <c r="E1322" t="inlineStr">
        <is>
          <t>EDA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9506-2025</t>
        </is>
      </c>
      <c r="B1323" s="1" t="n">
        <v>45715</v>
      </c>
      <c r="C1323" s="1" t="n">
        <v>45739</v>
      </c>
      <c r="D1323" t="inlineStr">
        <is>
          <t>VÄRMLANDS LÄN</t>
        </is>
      </c>
      <c r="E1323" t="inlineStr">
        <is>
          <t>EDA</t>
        </is>
      </c>
      <c r="G1323" t="n">
        <v>3.9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9513-2025</t>
        </is>
      </c>
      <c r="B1324" s="1" t="n">
        <v>45715</v>
      </c>
      <c r="C1324" s="1" t="n">
        <v>45739</v>
      </c>
      <c r="D1324" t="inlineStr">
        <is>
          <t>VÄRMLANDS LÄN</t>
        </is>
      </c>
      <c r="E1324" t="inlineStr">
        <is>
          <t>EDA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10154-2025</t>
        </is>
      </c>
      <c r="B1325" s="1" t="n">
        <v>45719</v>
      </c>
      <c r="C1325" s="1" t="n">
        <v>45739</v>
      </c>
      <c r="D1325" t="inlineStr">
        <is>
          <t>VÄRMLANDS LÄN</t>
        </is>
      </c>
      <c r="E1325" t="inlineStr">
        <is>
          <t>EDA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10589-2025</t>
        </is>
      </c>
      <c r="B1326" s="1" t="n">
        <v>45721</v>
      </c>
      <c r="C1326" s="1" t="n">
        <v>45739</v>
      </c>
      <c r="D1326" t="inlineStr">
        <is>
          <t>VÄRMLANDS LÄN</t>
        </is>
      </c>
      <c r="E1326" t="inlineStr">
        <is>
          <t>EDA</t>
        </is>
      </c>
      <c r="G1326" t="n">
        <v>4.4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10602-2025</t>
        </is>
      </c>
      <c r="B1327" s="1" t="n">
        <v>45721</v>
      </c>
      <c r="C1327" s="1" t="n">
        <v>45739</v>
      </c>
      <c r="D1327" t="inlineStr">
        <is>
          <t>VÄRMLANDS LÄN</t>
        </is>
      </c>
      <c r="E1327" t="inlineStr">
        <is>
          <t>EDA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10631-2025</t>
        </is>
      </c>
      <c r="B1328" s="1" t="n">
        <v>45721</v>
      </c>
      <c r="C1328" s="1" t="n">
        <v>45739</v>
      </c>
      <c r="D1328" t="inlineStr">
        <is>
          <t>VÄRMLANDS LÄN</t>
        </is>
      </c>
      <c r="E1328" t="inlineStr">
        <is>
          <t>EDA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10733-2025</t>
        </is>
      </c>
      <c r="B1329" s="1" t="n">
        <v>45722</v>
      </c>
      <c r="C1329" s="1" t="n">
        <v>45739</v>
      </c>
      <c r="D1329" t="inlineStr">
        <is>
          <t>VÄRMLANDS LÄN</t>
        </is>
      </c>
      <c r="E1329" t="inlineStr">
        <is>
          <t>EDA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11079-2025</t>
        </is>
      </c>
      <c r="B1330" s="1" t="n">
        <v>45723</v>
      </c>
      <c r="C1330" s="1" t="n">
        <v>45739</v>
      </c>
      <c r="D1330" t="inlineStr">
        <is>
          <t>VÄRMLANDS LÄN</t>
        </is>
      </c>
      <c r="E1330" t="inlineStr">
        <is>
          <t>EDA</t>
        </is>
      </c>
      <c r="G1330" t="n">
        <v>4.5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11095-2025</t>
        </is>
      </c>
      <c r="B1331" s="1" t="n">
        <v>45723</v>
      </c>
      <c r="C1331" s="1" t="n">
        <v>45739</v>
      </c>
      <c r="D1331" t="inlineStr">
        <is>
          <t>VÄRMLANDS LÄN</t>
        </is>
      </c>
      <c r="E1331" t="inlineStr">
        <is>
          <t>EDA</t>
        </is>
      </c>
      <c r="G1331" t="n">
        <v>4.8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11102-2025</t>
        </is>
      </c>
      <c r="B1332" s="1" t="n">
        <v>45723</v>
      </c>
      <c r="C1332" s="1" t="n">
        <v>45739</v>
      </c>
      <c r="D1332" t="inlineStr">
        <is>
          <t>VÄRMLANDS LÄN</t>
        </is>
      </c>
      <c r="E1332" t="inlineStr">
        <is>
          <t>EDA</t>
        </is>
      </c>
      <c r="G1332" t="n">
        <v>16.5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11330-2025</t>
        </is>
      </c>
      <c r="B1333" s="1" t="n">
        <v>45726</v>
      </c>
      <c r="C1333" s="1" t="n">
        <v>45739</v>
      </c>
      <c r="D1333" t="inlineStr">
        <is>
          <t>VÄRMLANDS LÄN</t>
        </is>
      </c>
      <c r="E1333" t="inlineStr">
        <is>
          <t>EDA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11327-2025</t>
        </is>
      </c>
      <c r="B1334" s="1" t="n">
        <v>45726</v>
      </c>
      <c r="C1334" s="1" t="n">
        <v>45739</v>
      </c>
      <c r="D1334" t="inlineStr">
        <is>
          <t>VÄRMLANDS LÄN</t>
        </is>
      </c>
      <c r="E1334" t="inlineStr">
        <is>
          <t>EDA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11400-2025</t>
        </is>
      </c>
      <c r="B1335" s="1" t="n">
        <v>45726</v>
      </c>
      <c r="C1335" s="1" t="n">
        <v>45739</v>
      </c>
      <c r="D1335" t="inlineStr">
        <is>
          <t>VÄRMLANDS LÄN</t>
        </is>
      </c>
      <c r="E1335" t="inlineStr">
        <is>
          <t>EDA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12091-2025</t>
        </is>
      </c>
      <c r="B1336" s="1" t="n">
        <v>45728</v>
      </c>
      <c r="C1336" s="1" t="n">
        <v>45739</v>
      </c>
      <c r="D1336" t="inlineStr">
        <is>
          <t>VÄRMLANDS LÄN</t>
        </is>
      </c>
      <c r="E1336" t="inlineStr">
        <is>
          <t>EDA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12286-2025</t>
        </is>
      </c>
      <c r="B1337" s="1" t="n">
        <v>45729</v>
      </c>
      <c r="C1337" s="1" t="n">
        <v>45739</v>
      </c>
      <c r="D1337" t="inlineStr">
        <is>
          <t>VÄRMLANDS LÄN</t>
        </is>
      </c>
      <c r="E1337" t="inlineStr">
        <is>
          <t>EDA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12281-2025</t>
        </is>
      </c>
      <c r="B1338" s="1" t="n">
        <v>45729</v>
      </c>
      <c r="C1338" s="1" t="n">
        <v>45739</v>
      </c>
      <c r="D1338" t="inlineStr">
        <is>
          <t>VÄRMLANDS LÄN</t>
        </is>
      </c>
      <c r="E1338" t="inlineStr">
        <is>
          <t>EDA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12350-2025</t>
        </is>
      </c>
      <c r="B1339" s="1" t="n">
        <v>45730</v>
      </c>
      <c r="C1339" s="1" t="n">
        <v>45739</v>
      </c>
      <c r="D1339" t="inlineStr">
        <is>
          <t>VÄRMLANDS LÄN</t>
        </is>
      </c>
      <c r="E1339" t="inlineStr">
        <is>
          <t>EDA</t>
        </is>
      </c>
      <c r="G1339" t="n">
        <v>7.4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12369-2025</t>
        </is>
      </c>
      <c r="B1340" s="1" t="n">
        <v>45730</v>
      </c>
      <c r="C1340" s="1" t="n">
        <v>45739</v>
      </c>
      <c r="D1340" t="inlineStr">
        <is>
          <t>VÄRMLANDS LÄN</t>
        </is>
      </c>
      <c r="E1340" t="inlineStr">
        <is>
          <t>EDA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12837-2025</t>
        </is>
      </c>
      <c r="B1341" s="1" t="n">
        <v>45733</v>
      </c>
      <c r="C1341" s="1" t="n">
        <v>45739</v>
      </c>
      <c r="D1341" t="inlineStr">
        <is>
          <t>VÄRMLANDS LÄN</t>
        </is>
      </c>
      <c r="E1341" t="inlineStr">
        <is>
          <t>EDA</t>
        </is>
      </c>
      <c r="G1341" t="n">
        <v>4.1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12716-2025</t>
        </is>
      </c>
      <c r="B1342" s="1" t="n">
        <v>45733</v>
      </c>
      <c r="C1342" s="1" t="n">
        <v>45739</v>
      </c>
      <c r="D1342" t="inlineStr">
        <is>
          <t>VÄRMLANDS LÄN</t>
        </is>
      </c>
      <c r="E1342" t="inlineStr">
        <is>
          <t>EDA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12725-2025</t>
        </is>
      </c>
      <c r="B1343" s="1" t="n">
        <v>45733</v>
      </c>
      <c r="C1343" s="1" t="n">
        <v>45739</v>
      </c>
      <c r="D1343" t="inlineStr">
        <is>
          <t>VÄRMLANDS LÄN</t>
        </is>
      </c>
      <c r="E1343" t="inlineStr">
        <is>
          <t>EDA</t>
        </is>
      </c>
      <c r="G1343" t="n">
        <v>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12843-2025</t>
        </is>
      </c>
      <c r="B1344" s="1" t="n">
        <v>45733</v>
      </c>
      <c r="C1344" s="1" t="n">
        <v>45739</v>
      </c>
      <c r="D1344" t="inlineStr">
        <is>
          <t>VÄRMLANDS LÄN</t>
        </is>
      </c>
      <c r="E1344" t="inlineStr">
        <is>
          <t>EDA</t>
        </is>
      </c>
      <c r="G1344" t="n">
        <v>4.8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12689-2025</t>
        </is>
      </c>
      <c r="B1345" s="1" t="n">
        <v>45733</v>
      </c>
      <c r="C1345" s="1" t="n">
        <v>45739</v>
      </c>
      <c r="D1345" t="inlineStr">
        <is>
          <t>VÄRMLANDS LÄN</t>
        </is>
      </c>
      <c r="E1345" t="inlineStr">
        <is>
          <t>EDA</t>
        </is>
      </c>
      <c r="F1345" t="inlineStr">
        <is>
          <t>Bergvik skog väst AB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12769-2025</t>
        </is>
      </c>
      <c r="B1346" s="1" t="n">
        <v>45733</v>
      </c>
      <c r="C1346" s="1" t="n">
        <v>45739</v>
      </c>
      <c r="D1346" t="inlineStr">
        <is>
          <t>VÄRMLANDS LÄN</t>
        </is>
      </c>
      <c r="E1346" t="inlineStr">
        <is>
          <t>EDA</t>
        </is>
      </c>
      <c r="G1346" t="n">
        <v>0.3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12822-2025</t>
        </is>
      </c>
      <c r="B1347" s="1" t="n">
        <v>45733</v>
      </c>
      <c r="C1347" s="1" t="n">
        <v>45739</v>
      </c>
      <c r="D1347" t="inlineStr">
        <is>
          <t>VÄRMLANDS LÄN</t>
        </is>
      </c>
      <c r="E1347" t="inlineStr">
        <is>
          <t>EDA</t>
        </is>
      </c>
      <c r="G1347" t="n">
        <v>3.6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12826-2025</t>
        </is>
      </c>
      <c r="B1348" s="1" t="n">
        <v>45733</v>
      </c>
      <c r="C1348" s="1" t="n">
        <v>45739</v>
      </c>
      <c r="D1348" t="inlineStr">
        <is>
          <t>VÄRMLANDS LÄN</t>
        </is>
      </c>
      <c r="E1348" t="inlineStr">
        <is>
          <t>EDA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13482-2025</t>
        </is>
      </c>
      <c r="B1349" s="1" t="n">
        <v>45736</v>
      </c>
      <c r="C1349" s="1" t="n">
        <v>45739</v>
      </c>
      <c r="D1349" t="inlineStr">
        <is>
          <t>VÄRMLANDS LÄN</t>
        </is>
      </c>
      <c r="E1349" t="inlineStr">
        <is>
          <t>EDA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13500-2025</t>
        </is>
      </c>
      <c r="B1350" s="1" t="n">
        <v>45736</v>
      </c>
      <c r="C1350" s="1" t="n">
        <v>45739</v>
      </c>
      <c r="D1350" t="inlineStr">
        <is>
          <t>VÄRMLANDS LÄN</t>
        </is>
      </c>
      <c r="E1350" t="inlineStr">
        <is>
          <t>EDA</t>
        </is>
      </c>
      <c r="G1350" t="n">
        <v>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13453-2025</t>
        </is>
      </c>
      <c r="B1351" s="1" t="n">
        <v>45736</v>
      </c>
      <c r="C1351" s="1" t="n">
        <v>45739</v>
      </c>
      <c r="D1351" t="inlineStr">
        <is>
          <t>VÄRMLANDS LÄN</t>
        </is>
      </c>
      <c r="E1351" t="inlineStr">
        <is>
          <t>EDA</t>
        </is>
      </c>
      <c r="G1351" t="n">
        <v>3.9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13494-2025</t>
        </is>
      </c>
      <c r="B1352" s="1" t="n">
        <v>45736</v>
      </c>
      <c r="C1352" s="1" t="n">
        <v>45739</v>
      </c>
      <c r="D1352" t="inlineStr">
        <is>
          <t>VÄRMLANDS LÄN</t>
        </is>
      </c>
      <c r="E1352" t="inlineStr">
        <is>
          <t>EDA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13737-2025</t>
        </is>
      </c>
      <c r="B1353" s="1" t="n">
        <v>45737</v>
      </c>
      <c r="C1353" s="1" t="n">
        <v>45739</v>
      </c>
      <c r="D1353" t="inlineStr">
        <is>
          <t>VÄRMLANDS LÄN</t>
        </is>
      </c>
      <c r="E1353" t="inlineStr">
        <is>
          <t>EDA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13747-2025</t>
        </is>
      </c>
      <c r="B1354" s="1" t="n">
        <v>45737</v>
      </c>
      <c r="C1354" s="1" t="n">
        <v>45739</v>
      </c>
      <c r="D1354" t="inlineStr">
        <is>
          <t>VÄRMLANDS LÄN</t>
        </is>
      </c>
      <c r="E1354" t="inlineStr">
        <is>
          <t>EDA</t>
        </is>
      </c>
      <c r="G1354" t="n">
        <v>3.8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>
      <c r="A1355" t="inlineStr">
        <is>
          <t>A 13765-2025</t>
        </is>
      </c>
      <c r="B1355" s="1" t="n">
        <v>45737</v>
      </c>
      <c r="C1355" s="1" t="n">
        <v>45739</v>
      </c>
      <c r="D1355" t="inlineStr">
        <is>
          <t>VÄRMLANDS LÄN</t>
        </is>
      </c>
      <c r="E1355" t="inlineStr">
        <is>
          <t>EDA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2025-03-23T17:30:28Z</dcterms:created>
  <dcterms:modified xmlns:dcterms="http://purl.org/dc/terms/" xmlns:xsi="http://www.w3.org/2001/XMLSchema-instance" xsi:type="dcterms:W3CDTF">2025-03-23T17:30:29Z</dcterms:modified>
</cp:coreProperties>
</file>