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46222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46222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46222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46222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Ullticka
Bronshjon
Spillkråka</t>
        </is>
      </c>
      <c r="V10">
        <f>HYPERLINK("https://klasma.github.io/Logging_1730/artfynd/A 9157-2024 artfynd.xlsx", "A 9157-2024")</f>
        <v/>
      </c>
      <c r="W10">
        <f>HYPERLINK("https://klasma.github.io/Logging_1730/kartor/A 9157-2024 karta.png", "A 9157-2024")</f>
        <v/>
      </c>
      <c r="Y10">
        <f>HYPERLINK("https://klasma.github.io/Logging_1730/klagomål/A 9157-2024 FSC-klagomål.docx", "A 9157-2024")</f>
        <v/>
      </c>
      <c r="Z10">
        <f>HYPERLINK("https://klasma.github.io/Logging_1730/klagomålsmail/A 9157-2024 FSC-klagomål mail.docx", "A 9157-2024")</f>
        <v/>
      </c>
      <c r="AA10">
        <f>HYPERLINK("https://klasma.github.io/Logging_1730/tillsyn/A 9157-2024 tillsynsbegäran.docx", "A 9157-2024")</f>
        <v/>
      </c>
      <c r="AB10">
        <f>HYPERLINK("https://klasma.github.io/Logging_1730/tillsynsmail/A 9157-2024 tillsynsbegäran mail.docx", "A 9157-2024")</f>
        <v/>
      </c>
      <c r="AC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Talltita
Tretåig hackspett
Tjäder</t>
        </is>
      </c>
      <c r="V11">
        <f>HYPERLINK("https://klasma.github.io/Logging_1730/artfynd/A 16742-2025 artfynd.xlsx", "A 16742-2025")</f>
        <v/>
      </c>
      <c r="W11">
        <f>HYPERLINK("https://klasma.github.io/Logging_1730/kartor/A 16742-2025 karta.png", "A 16742-2025")</f>
        <v/>
      </c>
      <c r="Y11">
        <f>HYPERLINK("https://klasma.github.io/Logging_1730/klagomål/A 16742-2025 FSC-klagomål.docx", "A 16742-2025")</f>
        <v/>
      </c>
      <c r="Z11">
        <f>HYPERLINK("https://klasma.github.io/Logging_1730/klagomålsmail/A 16742-2025 FSC-klagomål mail.docx", "A 16742-2025")</f>
        <v/>
      </c>
      <c r="AA11">
        <f>HYPERLINK("https://klasma.github.io/Logging_1730/tillsyn/A 16742-2025 tillsynsbegäran.docx", "A 16742-2025")</f>
        <v/>
      </c>
      <c r="AB11">
        <f>HYPERLINK("https://klasma.github.io/Logging_1730/tillsynsmail/A 16742-2025 tillsynsbegäran mail.docx", "A 16742-2025")</f>
        <v/>
      </c>
      <c r="AC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46222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Drillsnäppa
Buskskvätta
Röd glada</t>
        </is>
      </c>
      <c r="V13">
        <f>HYPERLINK("https://klasma.github.io/Logging_1730/artfynd/A 11330-2025 artfynd.xlsx", "A 11330-2025")</f>
        <v/>
      </c>
      <c r="W13">
        <f>HYPERLINK("https://klasma.github.io/Logging_1730/kartor/A 11330-2025 karta.png", "A 11330-2025")</f>
        <v/>
      </c>
      <c r="Y13">
        <f>HYPERLINK("https://klasma.github.io/Logging_1730/klagomål/A 11330-2025 FSC-klagomål.docx", "A 11330-2025")</f>
        <v/>
      </c>
      <c r="Z13">
        <f>HYPERLINK("https://klasma.github.io/Logging_1730/klagomålsmail/A 11330-2025 FSC-klagomål mail.docx", "A 11330-2025")</f>
        <v/>
      </c>
      <c r="AA13">
        <f>HYPERLINK("https://klasma.github.io/Logging_1730/tillsyn/A 11330-2025 tillsynsbegäran.docx", "A 11330-2025")</f>
        <v/>
      </c>
      <c r="AB13">
        <f>HYPERLINK("https://klasma.github.io/Logging_1730/tillsynsmail/A 11330-2025 tillsynsbegäran mail.docx", "A 11330-2025")</f>
        <v/>
      </c>
      <c r="AC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46222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Ullticka
Vedtrappmossa</t>
        </is>
      </c>
      <c r="V18">
        <f>HYPERLINK("https://klasma.github.io/Logging_1730/artfynd/A 56492-2023 artfynd.xlsx", "A 56492-2023")</f>
        <v/>
      </c>
      <c r="W18">
        <f>HYPERLINK("https://klasma.github.io/Logging_1730/kartor/A 56492-2023 karta.png", "A 56492-2023")</f>
        <v/>
      </c>
      <c r="Y18">
        <f>HYPERLINK("https://klasma.github.io/Logging_1730/klagomål/A 56492-2023 FSC-klagomål.docx", "A 56492-2023")</f>
        <v/>
      </c>
      <c r="Z18">
        <f>HYPERLINK("https://klasma.github.io/Logging_1730/klagomålsmail/A 56492-2023 FSC-klagomål mail.docx", "A 56492-2023")</f>
        <v/>
      </c>
      <c r="AA18">
        <f>HYPERLINK("https://klasma.github.io/Logging_1730/tillsyn/A 56492-2023 tillsynsbegäran.docx", "A 56492-2023")</f>
        <v/>
      </c>
      <c r="AB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46222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Garnlav
Blåsippa</t>
        </is>
      </c>
      <c r="V19">
        <f>HYPERLINK("https://klasma.github.io/Logging_1730/artfynd/A 2386-2024 artfynd.xlsx", "A 2386-2024")</f>
        <v/>
      </c>
      <c r="W19">
        <f>HYPERLINK("https://klasma.github.io/Logging_1730/kartor/A 2386-2024 karta.png", "A 2386-2024")</f>
        <v/>
      </c>
      <c r="Y19">
        <f>HYPERLINK("https://klasma.github.io/Logging_1730/klagomål/A 2386-2024 FSC-klagomål.docx", "A 2386-2024")</f>
        <v/>
      </c>
      <c r="Z19">
        <f>HYPERLINK("https://klasma.github.io/Logging_1730/klagomålsmail/A 2386-2024 FSC-klagomål mail.docx", "A 2386-2024")</f>
        <v/>
      </c>
      <c r="AA19">
        <f>HYPERLINK("https://klasma.github.io/Logging_1730/tillsyn/A 2386-2024 tillsynsbegäran.docx", "A 2386-2024")</f>
        <v/>
      </c>
      <c r="AB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46222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Sotriska
Fläcknycklar</t>
        </is>
      </c>
      <c r="V20">
        <f>HYPERLINK("https://klasma.github.io/Logging_1730/artfynd/A 7240-2023 artfynd.xlsx", "A 7240-2023")</f>
        <v/>
      </c>
      <c r="W20">
        <f>HYPERLINK("https://klasma.github.io/Logging_1730/kartor/A 7240-2023 karta.png", "A 7240-2023")</f>
        <v/>
      </c>
      <c r="Y20">
        <f>HYPERLINK("https://klasma.github.io/Logging_1730/klagomål/A 7240-2023 FSC-klagomål.docx", "A 7240-2023")</f>
        <v/>
      </c>
      <c r="Z20">
        <f>HYPERLINK("https://klasma.github.io/Logging_1730/klagomålsmail/A 7240-2023 FSC-klagomål mail.docx", "A 7240-2023")</f>
        <v/>
      </c>
      <c r="AA20">
        <f>HYPERLINK("https://klasma.github.io/Logging_1730/tillsyn/A 7240-2023 tillsynsbegäran.docx", "A 7240-2023")</f>
        <v/>
      </c>
      <c r="AB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46222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Björksplintborre
Fläcknycklar</t>
        </is>
      </c>
      <c r="V21">
        <f>HYPERLINK("https://klasma.github.io/Logging_1730/artfynd/A 35585-2025 artfynd.xlsx", "A 35585-2025")</f>
        <v/>
      </c>
      <c r="W21">
        <f>HYPERLINK("https://klasma.github.io/Logging_1730/kartor/A 35585-2025 karta.png", "A 35585-2025")</f>
        <v/>
      </c>
      <c r="Y21">
        <f>HYPERLINK("https://klasma.github.io/Logging_1730/klagomål/A 35585-2025 FSC-klagomål.docx", "A 35585-2025")</f>
        <v/>
      </c>
      <c r="Z21">
        <f>HYPERLINK("https://klasma.github.io/Logging_1730/klagomålsmail/A 35585-2025 FSC-klagomål mail.docx", "A 35585-2025")</f>
        <v/>
      </c>
      <c r="AA21">
        <f>HYPERLINK("https://klasma.github.io/Logging_1730/tillsyn/A 35585-2025 tillsynsbegäran.docx", "A 35585-2025")</f>
        <v/>
      </c>
      <c r="AB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46222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Gulsparv
Buskskvätta</t>
        </is>
      </c>
      <c r="V22">
        <f>HYPERLINK("https://klasma.github.io/Logging_1730/artfynd/A 26039-2023 artfynd.xlsx", "A 26039-2023")</f>
        <v/>
      </c>
      <c r="W22">
        <f>HYPERLINK("https://klasma.github.io/Logging_1730/kartor/A 26039-2023 karta.png", "A 26039-2023")</f>
        <v/>
      </c>
      <c r="Y22">
        <f>HYPERLINK("https://klasma.github.io/Logging_1730/klagomål/A 26039-2023 FSC-klagomål.docx", "A 26039-2023")</f>
        <v/>
      </c>
      <c r="Z22">
        <f>HYPERLINK("https://klasma.github.io/Logging_1730/klagomålsmail/A 26039-2023 FSC-klagomål mail.docx", "A 26039-2023")</f>
        <v/>
      </c>
      <c r="AA22">
        <f>HYPERLINK("https://klasma.github.io/Logging_1730/tillsyn/A 26039-2023 tillsynsbegäran.docx", "A 26039-2023")</f>
        <v/>
      </c>
      <c r="AB22">
        <f>HYPERLINK("https://klasma.github.io/Logging_1730/tillsynsmail/A 26039-2023 tillsynsbegäran mail.docx", "A 26039-2023")</f>
        <v/>
      </c>
      <c r="AC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46222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Ullticka
Bronshjon</t>
        </is>
      </c>
      <c r="V23">
        <f>HYPERLINK("https://klasma.github.io/Logging_1730/artfynd/A 18763-2024 artfynd.xlsx", "A 18763-2024")</f>
        <v/>
      </c>
      <c r="W23">
        <f>HYPERLINK("https://klasma.github.io/Logging_1730/kartor/A 18763-2024 karta.png", "A 18763-2024")</f>
        <v/>
      </c>
      <c r="Y23">
        <f>HYPERLINK("https://klasma.github.io/Logging_1730/klagomål/A 18763-2024 FSC-klagomål.docx", "A 18763-2024")</f>
        <v/>
      </c>
      <c r="Z23">
        <f>HYPERLINK("https://klasma.github.io/Logging_1730/klagomålsmail/A 18763-2024 FSC-klagomål mail.docx", "A 18763-2024")</f>
        <v/>
      </c>
      <c r="AA23">
        <f>HYPERLINK("https://klasma.github.io/Logging_1730/tillsyn/A 18763-2024 tillsynsbegäran.docx", "A 18763-2024")</f>
        <v/>
      </c>
      <c r="AB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46222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Talltita
Ullticka</t>
        </is>
      </c>
      <c r="V24">
        <f>HYPERLINK("https://klasma.github.io/Logging_1730/artfynd/A 2841-2024 artfynd.xlsx", "A 2841-2024")</f>
        <v/>
      </c>
      <c r="W24">
        <f>HYPERLINK("https://klasma.github.io/Logging_1730/kartor/A 2841-2024 karta.png", "A 2841-2024")</f>
        <v/>
      </c>
      <c r="Y24">
        <f>HYPERLINK("https://klasma.github.io/Logging_1730/klagomål/A 2841-2024 FSC-klagomål.docx", "A 2841-2024")</f>
        <v/>
      </c>
      <c r="Z24">
        <f>HYPERLINK("https://klasma.github.io/Logging_1730/klagomålsmail/A 2841-2024 FSC-klagomål mail.docx", "A 2841-2024")</f>
        <v/>
      </c>
      <c r="AA24">
        <f>HYPERLINK("https://klasma.github.io/Logging_1730/tillsyn/A 2841-2024 tillsynsbegäran.docx", "A 2841-2024")</f>
        <v/>
      </c>
      <c r="AB24">
        <f>HYPERLINK("https://klasma.github.io/Logging_1730/tillsynsmail/A 2841-2024 tillsynsbegäran mail.docx", "A 2841-2024")</f>
        <v/>
      </c>
      <c r="AC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46222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Garnlav
Svartvit flugsnappare</t>
        </is>
      </c>
      <c r="V25">
        <f>HYPERLINK("https://klasma.github.io/Logging_1730/artfynd/A 45093-2024 artfynd.xlsx", "A 45093-2024")</f>
        <v/>
      </c>
      <c r="W25">
        <f>HYPERLINK("https://klasma.github.io/Logging_1730/kartor/A 45093-2024 karta.png", "A 45093-2024")</f>
        <v/>
      </c>
      <c r="Y25">
        <f>HYPERLINK("https://klasma.github.io/Logging_1730/klagomål/A 45093-2024 FSC-klagomål.docx", "A 45093-2024")</f>
        <v/>
      </c>
      <c r="Z25">
        <f>HYPERLINK("https://klasma.github.io/Logging_1730/klagomålsmail/A 45093-2024 FSC-klagomål mail.docx", "A 45093-2024")</f>
        <v/>
      </c>
      <c r="AA25">
        <f>HYPERLINK("https://klasma.github.io/Logging_1730/tillsyn/A 45093-2024 tillsynsbegäran.docx", "A 45093-2024")</f>
        <v/>
      </c>
      <c r="AB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46222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Tretåig hackspett</t>
        </is>
      </c>
      <c r="V27">
        <f>HYPERLINK("https://klasma.github.io/Logging_1730/artfynd/A 11923-2024 artfynd.xlsx", "A 11923-2024")</f>
        <v/>
      </c>
      <c r="W27">
        <f>HYPERLINK("https://klasma.github.io/Logging_1730/kartor/A 11923-2024 karta.png", "A 11923-2024")</f>
        <v/>
      </c>
      <c r="Y27">
        <f>HYPERLINK("https://klasma.github.io/Logging_1730/klagomål/A 11923-2024 FSC-klagomål.docx", "A 11923-2024")</f>
        <v/>
      </c>
      <c r="Z27">
        <f>HYPERLINK("https://klasma.github.io/Logging_1730/klagomålsmail/A 11923-2024 FSC-klagomål mail.docx", "A 11923-2024")</f>
        <v/>
      </c>
      <c r="AA27">
        <f>HYPERLINK("https://klasma.github.io/Logging_1730/tillsyn/A 11923-2024 tillsynsbegäran.docx", "A 11923-2024")</f>
        <v/>
      </c>
      <c r="AB27">
        <f>HYPERLINK("https://klasma.github.io/Logging_1730/tillsynsmail/A 11923-2024 tillsynsbegäran mail.docx", "A 11923-2024")</f>
        <v/>
      </c>
      <c r="AC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46222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Vågbandad barkbock</t>
        </is>
      </c>
      <c r="V28">
        <f>HYPERLINK("https://klasma.github.io/Logging_1730/artfynd/A 59770-2023 artfynd.xlsx", "A 59770-2023")</f>
        <v/>
      </c>
      <c r="W28">
        <f>HYPERLINK("https://klasma.github.io/Logging_1730/kartor/A 59770-2023 karta.png", "A 59770-2023")</f>
        <v/>
      </c>
      <c r="Y28">
        <f>HYPERLINK("https://klasma.github.io/Logging_1730/klagomål/A 59770-2023 FSC-klagomål.docx", "A 59770-2023")</f>
        <v/>
      </c>
      <c r="Z28">
        <f>HYPERLINK("https://klasma.github.io/Logging_1730/klagomålsmail/A 59770-2023 FSC-klagomål mail.docx", "A 59770-2023")</f>
        <v/>
      </c>
      <c r="AA28">
        <f>HYPERLINK("https://klasma.github.io/Logging_1730/tillsyn/A 59770-2023 tillsynsbegäran.docx", "A 59770-2023")</f>
        <v/>
      </c>
      <c r="AB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46222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HYPERLINK("https://klasma.github.io/Logging_1730/artfynd/A 10602-2025 artfynd.xlsx", "A 10602-2025")</f>
        <v/>
      </c>
      <c r="W29">
        <f>HYPERLINK("https://klasma.github.io/Logging_1730/kartor/A 10602-2025 karta.png", "A 10602-2025")</f>
        <v/>
      </c>
      <c r="Y29">
        <f>HYPERLINK("https://klasma.github.io/Logging_1730/klagomål/A 10602-2025 FSC-klagomål.docx", "A 10602-2025")</f>
        <v/>
      </c>
      <c r="Z29">
        <f>HYPERLINK("https://klasma.github.io/Logging_1730/klagomålsmail/A 10602-2025 FSC-klagomål mail.docx", "A 10602-2025")</f>
        <v/>
      </c>
      <c r="AA29">
        <f>HYPERLINK("https://klasma.github.io/Logging_1730/tillsyn/A 10602-2025 tillsynsbegäran.docx", "A 10602-2025")</f>
        <v/>
      </c>
      <c r="AB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46222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HYPERLINK("https://klasma.github.io/Logging_1730/artfynd/A 12929-2026 artfynd.xlsx", "A 12929-2026")</f>
        <v/>
      </c>
      <c r="W30">
        <f>HYPERLINK("https://klasma.github.io/Logging_1730/kartor/A 12929-2026 karta.png", "A 12929-2026")</f>
        <v/>
      </c>
      <c r="Y30">
        <f>HYPERLINK("https://klasma.github.io/Logging_1730/klagomål/A 12929-2026 FSC-klagomål.docx", "A 12929-2026")</f>
        <v/>
      </c>
      <c r="Z30">
        <f>HYPERLINK("https://klasma.github.io/Logging_1730/klagomålsmail/A 12929-2026 FSC-klagomål mail.docx", "A 12929-2026")</f>
        <v/>
      </c>
      <c r="AA30">
        <f>HYPERLINK("https://klasma.github.io/Logging_1730/tillsyn/A 12929-2026 tillsynsbegäran.docx", "A 12929-2026")</f>
        <v/>
      </c>
      <c r="AB30">
        <f>HYPERLINK("https://klasma.github.io/Logging_1730/tillsynsmail/A 12929-2026 tillsynsbegäran mail.docx", "A 12929-2026")</f>
        <v/>
      </c>
    </row>
    <row r="31" ht="15" customHeight="1">
      <c r="A31" t="inlineStr">
        <is>
          <t>A 59686-2025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46222</v>
      </c>
      <c r="F31" t="inlineStr">
        <is>
          <t>VÄRMLANDS LÄN</t>
        </is>
      </c>
      <c r="G31" t="inlineStr">
        <is>
          <t>EDA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HYPERLINK("https://klasma.github.io/Logging_1730/artfynd/A 59686-2025 artfynd.xlsx", "A 59686-2025")</f>
        <v/>
      </c>
      <c r="W31">
        <f>HYPERLINK("https://klasma.github.io/Logging_1730/kartor/A 59686-2025 karta.png", "A 59686-2025")</f>
        <v/>
      </c>
      <c r="Y31">
        <f>HYPERLINK("https://klasma.github.io/Logging_1730/klagomål/A 59686-2025 FSC-klagomål.docx", "A 59686-2025")</f>
        <v/>
      </c>
      <c r="Z31">
        <f>HYPERLINK("https://klasma.github.io/Logging_1730/klagomålsmail/A 59686-2025 FSC-klagomål mail.docx", "A 59686-2025")</f>
        <v/>
      </c>
      <c r="AA31">
        <f>HYPERLINK("https://klasma.github.io/Logging_1730/tillsyn/A 59686-2025 tillsynsbegäran.docx", "A 59686-2025")</f>
        <v/>
      </c>
      <c r="AB31">
        <f>HYPERLINK("https://klasma.github.io/Logging_1730/tillsynsmail/A 59686-2025 tillsynsbegäran mail.docx", "A 59686-2025")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46222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Gröngöling</t>
        </is>
      </c>
      <c r="V32">
        <f>HYPERLINK("https://klasma.github.io/Logging_1730/artfynd/A 56783-2023 artfynd.xlsx", "A 56783-2023")</f>
        <v/>
      </c>
      <c r="W32">
        <f>HYPERLINK("https://klasma.github.io/Logging_1730/kartor/A 56783-2023 karta.png", "A 56783-2023")</f>
        <v/>
      </c>
      <c r="Y32">
        <f>HYPERLINK("https://klasma.github.io/Logging_1730/klagomål/A 56783-2023 FSC-klagomål.docx", "A 56783-2023")</f>
        <v/>
      </c>
      <c r="Z32">
        <f>HYPERLINK("https://klasma.github.io/Logging_1730/klagomålsmail/A 56783-2023 FSC-klagomål mail.docx", "A 56783-2023")</f>
        <v/>
      </c>
      <c r="AA32">
        <f>HYPERLINK("https://klasma.github.io/Logging_1730/tillsyn/A 56783-2023 tillsynsbegäran.docx", "A 56783-2023")</f>
        <v/>
      </c>
      <c r="AB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46222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56496-2023 artfynd.xlsx", "A 56496-2023")</f>
        <v/>
      </c>
      <c r="W33">
        <f>HYPERLINK("https://klasma.github.io/Logging_1730/kartor/A 56496-2023 karta.png", "A 56496-2023")</f>
        <v/>
      </c>
      <c r="Y33">
        <f>HYPERLINK("https://klasma.github.io/Logging_1730/klagomål/A 56496-2023 FSC-klagomål.docx", "A 56496-2023")</f>
        <v/>
      </c>
      <c r="Z33">
        <f>HYPERLINK("https://klasma.github.io/Logging_1730/klagomålsmail/A 56496-2023 FSC-klagomål mail.docx", "A 56496-2023")</f>
        <v/>
      </c>
      <c r="AA33">
        <f>HYPERLINK("https://klasma.github.io/Logging_1730/tillsyn/A 56496-2023 tillsynsbegäran.docx", "A 56496-2023")</f>
        <v/>
      </c>
      <c r="AB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46222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HYPERLINK("https://klasma.github.io/Logging_1730/artfynd/A 35702-2024 artfynd.xlsx", "A 35702-2024")</f>
        <v/>
      </c>
      <c r="W34">
        <f>HYPERLINK("https://klasma.github.io/Logging_1730/kartor/A 35702-2024 karta.png", "A 35702-2024")</f>
        <v/>
      </c>
      <c r="Y34">
        <f>HYPERLINK("https://klasma.github.io/Logging_1730/klagomål/A 35702-2024 FSC-klagomål.docx", "A 35702-2024")</f>
        <v/>
      </c>
      <c r="Z34">
        <f>HYPERLINK("https://klasma.github.io/Logging_1730/klagomålsmail/A 35702-2024 FSC-klagomål mail.docx", "A 35702-2024")</f>
        <v/>
      </c>
      <c r="AA34">
        <f>HYPERLINK("https://klasma.github.io/Logging_1730/tillsyn/A 35702-2024 tillsynsbegäran.docx", "A 35702-2024")</f>
        <v/>
      </c>
      <c r="AB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46222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Fällmossa</t>
        </is>
      </c>
      <c r="V35">
        <f>HYPERLINK("https://klasma.github.io/Logging_1730/artfynd/A 19681-2024 artfynd.xlsx", "A 19681-2024")</f>
        <v/>
      </c>
      <c r="W35">
        <f>HYPERLINK("https://klasma.github.io/Logging_1730/kartor/A 19681-2024 karta.png", "A 19681-2024")</f>
        <v/>
      </c>
      <c r="Y35">
        <f>HYPERLINK("https://klasma.github.io/Logging_1730/klagomål/A 19681-2024 FSC-klagomål.docx", "A 19681-2024")</f>
        <v/>
      </c>
      <c r="Z35">
        <f>HYPERLINK("https://klasma.github.io/Logging_1730/klagomålsmail/A 19681-2024 FSC-klagomål mail.docx", "A 19681-2024")</f>
        <v/>
      </c>
      <c r="AA35">
        <f>HYPERLINK("https://klasma.github.io/Logging_1730/tillsyn/A 19681-2024 tillsynsbegäran.docx", "A 19681-2024")</f>
        <v/>
      </c>
      <c r="AB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Grönsångare</t>
        </is>
      </c>
      <c r="V36">
        <f>HYPERLINK("https://klasma.github.io/Logging_1730/artfynd/A 20898-2025 artfynd.xlsx", "A 20898-2025")</f>
        <v/>
      </c>
      <c r="W36">
        <f>HYPERLINK("https://klasma.github.io/Logging_1730/kartor/A 20898-2025 karta.png", "A 20898-2025")</f>
        <v/>
      </c>
      <c r="Y36">
        <f>HYPERLINK("https://klasma.github.io/Logging_1730/klagomål/A 20898-2025 FSC-klagomål.docx", "A 20898-2025")</f>
        <v/>
      </c>
      <c r="Z36">
        <f>HYPERLINK("https://klasma.github.io/Logging_1730/klagomålsmail/A 20898-2025 FSC-klagomål mail.docx", "A 20898-2025")</f>
        <v/>
      </c>
      <c r="AA36">
        <f>HYPERLINK("https://klasma.github.io/Logging_1730/tillsyn/A 20898-2025 tillsynsbegäran.docx", "A 20898-2025")</f>
        <v/>
      </c>
      <c r="AB36">
        <f>HYPERLINK("https://klasma.github.io/Logging_1730/tillsynsmail/A 20898-2025 tillsynsbegäran mail.docx", "A 20898-2025")</f>
        <v/>
      </c>
      <c r="AC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46222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46222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46222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46222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46222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46222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46222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46222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46222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46222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46222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46222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46222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46222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46222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46222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46222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46222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46222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46222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46222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46222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46222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46222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46222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46222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68445-2021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46222</v>
      </c>
      <c r="F65" t="inlineStr">
        <is>
          <t>VÄRMLANDS LÄN</t>
        </is>
      </c>
      <c r="G65" t="inlineStr">
        <is>
          <t>EDA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46222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46222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46222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46222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46222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46222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46222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46222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46222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46222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46222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46222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46222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46222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46222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46222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46222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46222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46222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46222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46222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52391-2022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46222</v>
      </c>
      <c r="F87" t="inlineStr">
        <is>
          <t>VÄRMLANDS LÄN</t>
        </is>
      </c>
      <c r="G87" t="inlineStr">
        <is>
          <t>EDA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46222</v>
      </c>
      <c r="F88" t="inlineStr">
        <is>
          <t>VÄRMLANDS LÄN</t>
        </is>
      </c>
      <c r="G88" t="inlineStr">
        <is>
          <t>EDA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54617-2022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46222</v>
      </c>
      <c r="F89" t="inlineStr">
        <is>
          <t>VÄRMLANDS LÄN</t>
        </is>
      </c>
      <c r="G89" t="inlineStr">
        <is>
          <t>EDA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46222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46222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46222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46222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46222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44588</v>
      </c>
      <c r="E95" s="1" t="n">
        <v>46222</v>
      </c>
      <c r="F95" t="inlineStr">
        <is>
          <t>VÄRMLANDS LÄN</t>
        </is>
      </c>
      <c r="G95" t="inlineStr">
        <is>
          <t>EDA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46222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46222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46222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46222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46222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46222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46222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46222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46222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46222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46222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46222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46222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46222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46222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46222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46222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46222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46222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46222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46222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18618-2023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46222</v>
      </c>
      <c r="F117" t="inlineStr">
        <is>
          <t>VÄRMLANDS LÄN</t>
        </is>
      </c>
      <c r="G117" t="inlineStr">
        <is>
          <t>EDA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39002-2021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44412</v>
      </c>
      <c r="E118" s="1" t="n">
        <v>46222</v>
      </c>
      <c r="F118" t="inlineStr">
        <is>
          <t>VÄRMLANDS LÄN</t>
        </is>
      </c>
      <c r="G118" t="inlineStr">
        <is>
          <t>EDA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46222</v>
      </c>
      <c r="F119" t="inlineStr">
        <is>
          <t>VÄRMLANDS LÄN</t>
        </is>
      </c>
      <c r="G119" t="inlineStr">
        <is>
          <t>EDA</t>
        </is>
      </c>
      <c r="H119" t="inlineStr">
        <is>
          <t>Kommuner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46222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46222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46222</v>
      </c>
      <c r="F122" t="inlineStr">
        <is>
          <t>VÄRMLANDS LÄN</t>
        </is>
      </c>
      <c r="G122" t="inlineStr">
        <is>
          <t>EDA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46222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12769-2025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46222</v>
      </c>
      <c r="F124" t="inlineStr">
        <is>
          <t>VÄRMLANDS LÄN</t>
        </is>
      </c>
      <c r="G124" t="inlineStr">
        <is>
          <t>EDA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46222</v>
      </c>
      <c r="F125" t="inlineStr">
        <is>
          <t>VÄRMLANDS LÄN</t>
        </is>
      </c>
      <c r="G125" t="inlineStr">
        <is>
          <t>EDA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18642-2025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46222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46476-2021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44445</v>
      </c>
      <c r="E127" s="1" t="n">
        <v>46222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46222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26501-2023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46222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46222</v>
      </c>
      <c r="F130" t="inlineStr">
        <is>
          <t>VÄRMLANDS LÄN</t>
        </is>
      </c>
      <c r="G130" t="inlineStr">
        <is>
          <t>EDA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53396-2023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46222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39213-2024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45549</v>
      </c>
      <c r="E132" s="1" t="n">
        <v>46222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24112-2024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46222</v>
      </c>
      <c r="F133" t="inlineStr">
        <is>
          <t>VÄRMLANDS LÄN</t>
        </is>
      </c>
      <c r="G133" t="inlineStr">
        <is>
          <t>EDA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46222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45301</v>
      </c>
      <c r="E135" s="1" t="n">
        <v>46222</v>
      </c>
      <c r="F135" t="inlineStr">
        <is>
          <t>VÄRMLANDS LÄN</t>
        </is>
      </c>
      <c r="G135" t="inlineStr">
        <is>
          <t>EDA</t>
        </is>
      </c>
      <c r="H135" t="inlineStr">
        <is>
          <t>Kyrkan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35634-2022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44799</v>
      </c>
      <c r="E136" s="1" t="n">
        <v>46222</v>
      </c>
      <c r="F136" t="inlineStr">
        <is>
          <t>VÄRMLANDS LÄN</t>
        </is>
      </c>
      <c r="G136" t="inlineStr">
        <is>
          <t>EDA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46222</v>
      </c>
      <c r="F137" t="inlineStr">
        <is>
          <t>VÄRMLANDS LÄN</t>
        </is>
      </c>
      <c r="G137" t="inlineStr">
        <is>
          <t>EDA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46222</v>
      </c>
      <c r="F138" t="inlineStr">
        <is>
          <t>VÄRMLANDS LÄN</t>
        </is>
      </c>
      <c r="G138" t="inlineStr">
        <is>
          <t>EDA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46222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46222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18758-2024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46222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50030-2022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46222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28197-2024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45477</v>
      </c>
      <c r="E143" s="1" t="n">
        <v>46222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46222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46222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46222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46222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46222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23070-2024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46222</v>
      </c>
      <c r="F149" t="inlineStr">
        <is>
          <t>VÄRMLANDS LÄN</t>
        </is>
      </c>
      <c r="G149" t="inlineStr">
        <is>
          <t>EDA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46222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46222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46222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46222</v>
      </c>
      <c r="F153" t="inlineStr">
        <is>
          <t>VÄRMLANDS LÄN</t>
        </is>
      </c>
      <c r="G153" t="inlineStr">
        <is>
          <t>EDA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46222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46222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46222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46222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10701-2022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44625</v>
      </c>
      <c r="E158" s="1" t="n">
        <v>46222</v>
      </c>
      <c r="F158" t="inlineStr">
        <is>
          <t>VÄRMLANDS LÄN</t>
        </is>
      </c>
      <c r="G158" t="inlineStr">
        <is>
          <t>EDA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46222</v>
      </c>
      <c r="F159" t="inlineStr">
        <is>
          <t>VÄRMLANDS LÄN</t>
        </is>
      </c>
      <c r="G159" t="inlineStr">
        <is>
          <t>EDA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60440-2022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46222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38292-2025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46222</v>
      </c>
      <c r="F161" t="inlineStr">
        <is>
          <t>VÄRMLANDS LÄN</t>
        </is>
      </c>
      <c r="G161" t="inlineStr">
        <is>
          <t>EDA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45135</v>
      </c>
      <c r="E162" s="1" t="n">
        <v>46222</v>
      </c>
      <c r="F162" t="inlineStr">
        <is>
          <t>VÄRMLANDS LÄN</t>
        </is>
      </c>
      <c r="G162" t="inlineStr">
        <is>
          <t>EDA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46222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31077-2024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46222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46222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46222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56146-2024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46222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6490-2023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44966</v>
      </c>
      <c r="E168" s="1" t="n">
        <v>46222</v>
      </c>
      <c r="F168" t="inlineStr">
        <is>
          <t>VÄRMLANDS LÄN</t>
        </is>
      </c>
      <c r="G168" t="inlineStr">
        <is>
          <t>EDA</t>
        </is>
      </c>
      <c r="H168" t="inlineStr">
        <is>
          <t>Övriga statliga verk och myndigheter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50225-2024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46222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46222</v>
      </c>
      <c r="F170" t="inlineStr">
        <is>
          <t>VÄRMLANDS LÄN</t>
        </is>
      </c>
      <c r="G170" t="inlineStr">
        <is>
          <t>EDA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3162-2026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46041</v>
      </c>
      <c r="E171" s="1" t="n">
        <v>46222</v>
      </c>
      <c r="F171" t="inlineStr">
        <is>
          <t>VÄRMLANDS LÄN</t>
        </is>
      </c>
      <c r="G171" t="inlineStr">
        <is>
          <t>EDA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8586-2024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46222</v>
      </c>
      <c r="F172" t="inlineStr">
        <is>
          <t>VÄRMLANDS LÄN</t>
        </is>
      </c>
      <c r="G172" t="inlineStr">
        <is>
          <t>EDA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12239-2024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46222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9160-2024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46222</v>
      </c>
      <c r="F174" t="inlineStr">
        <is>
          <t>VÄRMLANDS LÄN</t>
        </is>
      </c>
      <c r="G174" t="inlineStr">
        <is>
          <t>EDA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46222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46222</v>
      </c>
      <c r="F176" t="inlineStr">
        <is>
          <t>VÄRMLANDS LÄN</t>
        </is>
      </c>
      <c r="G176" t="inlineStr">
        <is>
          <t>EDA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46222</v>
      </c>
      <c r="F177" t="inlineStr">
        <is>
          <t>VÄRMLANDS LÄN</t>
        </is>
      </c>
      <c r="G177" t="inlineStr">
        <is>
          <t>EDA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46222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46222</v>
      </c>
      <c r="F179" t="inlineStr">
        <is>
          <t>VÄRMLANDS LÄN</t>
        </is>
      </c>
      <c r="G179" t="inlineStr">
        <is>
          <t>EDA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46222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46222</v>
      </c>
      <c r="F181" t="inlineStr">
        <is>
          <t>VÄRMLANDS LÄN</t>
        </is>
      </c>
      <c r="G181" t="inlineStr">
        <is>
          <t>EDA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20471-2024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46222</v>
      </c>
      <c r="F182" t="inlineStr">
        <is>
          <t>VÄRMLANDS LÄN</t>
        </is>
      </c>
      <c r="G182" t="inlineStr">
        <is>
          <t>EDA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45691</v>
      </c>
      <c r="E183" s="1" t="n">
        <v>46222</v>
      </c>
      <c r="F183" t="inlineStr">
        <is>
          <t>VÄRMLANDS LÄN</t>
        </is>
      </c>
      <c r="G183" t="inlineStr">
        <is>
          <t>EDA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46222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46222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46646-2024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46222</v>
      </c>
      <c r="F186" t="inlineStr">
        <is>
          <t>VÄRMLANDS LÄN</t>
        </is>
      </c>
      <c r="G186" t="inlineStr">
        <is>
          <t>EDA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46222</v>
      </c>
      <c r="F187" t="inlineStr">
        <is>
          <t>VÄRMLANDS LÄN</t>
        </is>
      </c>
      <c r="G187" t="inlineStr">
        <is>
          <t>EDA</t>
        </is>
      </c>
      <c r="H187" t="inlineStr">
        <is>
          <t>Övriga Aktiebolag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46222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57348-2022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46222</v>
      </c>
      <c r="F189" t="inlineStr">
        <is>
          <t>VÄRMLANDS LÄN</t>
        </is>
      </c>
      <c r="G189" t="inlineStr">
        <is>
          <t>EDA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28092-2025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46222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46222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28287-2025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46222</v>
      </c>
      <c r="F192" t="inlineStr">
        <is>
          <t>VÄRMLANDS LÄN</t>
        </is>
      </c>
      <c r="G192" t="inlineStr">
        <is>
          <t>EDA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46222</v>
      </c>
      <c r="F193" t="inlineStr">
        <is>
          <t>VÄRMLANDS LÄN</t>
        </is>
      </c>
      <c r="G193" t="inlineStr">
        <is>
          <t>EDA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28324-2025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46222</v>
      </c>
      <c r="F194" t="inlineStr">
        <is>
          <t>VÄRMLANDS LÄN</t>
        </is>
      </c>
      <c r="G194" t="inlineStr">
        <is>
          <t>EDA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46222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46703-2024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46222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46222</v>
      </c>
      <c r="F197" t="inlineStr">
        <is>
          <t>VÄRMLANDS LÄN</t>
        </is>
      </c>
      <c r="G197" t="inlineStr">
        <is>
          <t>EDA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17746-2025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46222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46222</v>
      </c>
      <c r="F199" t="inlineStr">
        <is>
          <t>VÄRMLANDS LÄN</t>
        </is>
      </c>
      <c r="G199" t="inlineStr">
        <is>
          <t>EDA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46222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39735-2025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46222</v>
      </c>
      <c r="F201" t="inlineStr">
        <is>
          <t>VÄRMLANDS LÄN</t>
        </is>
      </c>
      <c r="G201" t="inlineStr">
        <is>
          <t>EDA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46222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37609-2024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46222</v>
      </c>
      <c r="F203" t="inlineStr">
        <is>
          <t>VÄRMLANDS LÄN</t>
        </is>
      </c>
      <c r="G203" t="inlineStr">
        <is>
          <t>EDA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40692-2025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46222</v>
      </c>
      <c r="F204" t="inlineStr">
        <is>
          <t>VÄRMLANDS LÄN</t>
        </is>
      </c>
      <c r="G204" t="inlineStr">
        <is>
          <t>EDA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46222</v>
      </c>
      <c r="F205" t="inlineStr">
        <is>
          <t>VÄRMLANDS LÄN</t>
        </is>
      </c>
      <c r="G205" t="inlineStr">
        <is>
          <t>EDA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40880-2025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46222</v>
      </c>
      <c r="F206" t="inlineStr">
        <is>
          <t>VÄRMLANDS LÄN</t>
        </is>
      </c>
      <c r="G206" t="inlineStr">
        <is>
          <t>EDA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46222</v>
      </c>
      <c r="F207" t="inlineStr">
        <is>
          <t>VÄRMLANDS LÄN</t>
        </is>
      </c>
      <c r="G207" t="inlineStr">
        <is>
          <t>EDA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36287-2023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46222</v>
      </c>
      <c r="F208" t="inlineStr">
        <is>
          <t>VÄRMLANDS LÄN</t>
        </is>
      </c>
      <c r="G208" t="inlineStr">
        <is>
          <t>EDA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45152</v>
      </c>
      <c r="E209" s="1" t="n">
        <v>46222</v>
      </c>
      <c r="F209" t="inlineStr">
        <is>
          <t>VÄRMLANDS LÄN</t>
        </is>
      </c>
      <c r="G209" t="inlineStr">
        <is>
          <t>EDA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20659-2023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45058</v>
      </c>
      <c r="E210" s="1" t="n">
        <v>46222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61279-2022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46222</v>
      </c>
      <c r="F211" t="inlineStr">
        <is>
          <t>VÄRMLANDS LÄN</t>
        </is>
      </c>
      <c r="G211" t="inlineStr">
        <is>
          <t>EDA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61282-2022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46222</v>
      </c>
      <c r="F212" t="inlineStr">
        <is>
          <t>VÄRMLANDS LÄN</t>
        </is>
      </c>
      <c r="G212" t="inlineStr">
        <is>
          <t>EDA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46222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46222</v>
      </c>
      <c r="F214" t="inlineStr">
        <is>
          <t>VÄRMLANDS LÄN</t>
        </is>
      </c>
      <c r="G214" t="inlineStr">
        <is>
          <t>EDA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46222</v>
      </c>
      <c r="F215" t="inlineStr">
        <is>
          <t>VÄRMLANDS LÄN</t>
        </is>
      </c>
      <c r="G215" t="inlineStr">
        <is>
          <t>EDA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46222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41982-2025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46222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41994-2025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46222</v>
      </c>
      <c r="F218" t="inlineStr">
        <is>
          <t>VÄRMLANDS LÄN</t>
        </is>
      </c>
      <c r="G218" t="inlineStr">
        <is>
          <t>EDA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46222</v>
      </c>
      <c r="F219" t="inlineStr">
        <is>
          <t>VÄRMLANDS LÄN</t>
        </is>
      </c>
      <c r="G219" t="inlineStr">
        <is>
          <t>EDA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46222</v>
      </c>
      <c r="F220" t="inlineStr">
        <is>
          <t>VÄRMLANDS LÄN</t>
        </is>
      </c>
      <c r="G220" t="inlineStr">
        <is>
          <t>EDA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46222</v>
      </c>
      <c r="F221" t="inlineStr">
        <is>
          <t>VÄRMLANDS LÄN</t>
        </is>
      </c>
      <c r="G221" t="inlineStr">
        <is>
          <t>EDA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10145-2023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46222</v>
      </c>
      <c r="F222" t="inlineStr">
        <is>
          <t>VÄRMLANDS LÄN</t>
        </is>
      </c>
      <c r="G222" t="inlineStr">
        <is>
          <t>EDA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32133-2025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46222</v>
      </c>
      <c r="F223" t="inlineStr">
        <is>
          <t>VÄRMLANDS LÄN</t>
        </is>
      </c>
      <c r="G223" t="inlineStr">
        <is>
          <t>EDA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46222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46222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46222</v>
      </c>
      <c r="F226" t="inlineStr">
        <is>
          <t>VÄRMLANDS LÄN</t>
        </is>
      </c>
      <c r="G226" t="inlineStr">
        <is>
          <t>EDA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46222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46222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58392-2022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46222</v>
      </c>
      <c r="F229" t="inlineStr">
        <is>
          <t>VÄRMLANDS LÄN</t>
        </is>
      </c>
      <c r="G229" t="inlineStr">
        <is>
          <t>EDA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46222</v>
      </c>
      <c r="F230" t="inlineStr">
        <is>
          <t>VÄRMLANDS LÄN</t>
        </is>
      </c>
      <c r="G230" t="inlineStr">
        <is>
          <t>EDA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8942-2022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44614</v>
      </c>
      <c r="E231" s="1" t="n">
        <v>46222</v>
      </c>
      <c r="F231" t="inlineStr">
        <is>
          <t>VÄRMLANDS LÄN</t>
        </is>
      </c>
      <c r="G231" t="inlineStr">
        <is>
          <t>EDA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49609-2021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46222</v>
      </c>
      <c r="F232" t="inlineStr">
        <is>
          <t>VÄRMLANDS LÄN</t>
        </is>
      </c>
      <c r="G232" t="inlineStr">
        <is>
          <t>EDA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32863-2025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46222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46222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46222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46222</v>
      </c>
      <c r="F236" t="inlineStr">
        <is>
          <t>VÄRMLANDS LÄN</t>
        </is>
      </c>
      <c r="G236" t="inlineStr">
        <is>
          <t>EDA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46222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46222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45298-2025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45920</v>
      </c>
      <c r="E239" s="1" t="n">
        <v>46222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46222</v>
      </c>
      <c r="F240" t="inlineStr">
        <is>
          <t>VÄRMLANDS LÄN</t>
        </is>
      </c>
      <c r="G240" t="inlineStr">
        <is>
          <t>EDA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46222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46222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28091-2025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46222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46222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46222</v>
      </c>
      <c r="F245" t="inlineStr">
        <is>
          <t>VÄRMLANDS LÄN</t>
        </is>
      </c>
      <c r="G245" t="inlineStr">
        <is>
          <t>EDA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47759-2024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46222</v>
      </c>
      <c r="F246" t="inlineStr">
        <is>
          <t>VÄRMLANDS LÄN</t>
        </is>
      </c>
      <c r="G246" t="inlineStr">
        <is>
          <t>EDA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27886-2023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46222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13453-2025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46222</v>
      </c>
      <c r="F248" t="inlineStr">
        <is>
          <t>VÄRMLANDS LÄN</t>
        </is>
      </c>
      <c r="G248" t="inlineStr">
        <is>
          <t>EDA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45061</v>
      </c>
      <c r="E249" s="1" t="n">
        <v>46222</v>
      </c>
      <c r="F249" t="inlineStr">
        <is>
          <t>VÄRMLANDS LÄN</t>
        </is>
      </c>
      <c r="G249" t="inlineStr">
        <is>
          <t>EDA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9506-2025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46222</v>
      </c>
      <c r="F250" t="inlineStr">
        <is>
          <t>VÄRMLANDS LÄN</t>
        </is>
      </c>
      <c r="G250" t="inlineStr">
        <is>
          <t>EDA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15641-2023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46222</v>
      </c>
      <c r="F251" t="inlineStr">
        <is>
          <t>VÄRMLANDS LÄN</t>
        </is>
      </c>
      <c r="G251" t="inlineStr">
        <is>
          <t>EDA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24756-2023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46222</v>
      </c>
      <c r="F252" t="inlineStr">
        <is>
          <t>VÄRMLANDS LÄN</t>
        </is>
      </c>
      <c r="G252" t="inlineStr">
        <is>
          <t>EDA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46222</v>
      </c>
      <c r="F253" t="inlineStr">
        <is>
          <t>VÄRMLANDS LÄN</t>
        </is>
      </c>
      <c r="G253" t="inlineStr">
        <is>
          <t>EDA</t>
        </is>
      </c>
      <c r="H253" t="inlineStr">
        <is>
          <t>Kyrkan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44700</v>
      </c>
      <c r="E254" s="1" t="n">
        <v>46222</v>
      </c>
      <c r="F254" t="inlineStr">
        <is>
          <t>VÄRMLANDS LÄN</t>
        </is>
      </c>
      <c r="G254" t="inlineStr">
        <is>
          <t>EDA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34795-2025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46222</v>
      </c>
      <c r="F255" t="inlineStr">
        <is>
          <t>VÄRMLANDS LÄN</t>
        </is>
      </c>
      <c r="G255" t="inlineStr">
        <is>
          <t>EDA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21140-2025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45778</v>
      </c>
      <c r="E256" s="1" t="n">
        <v>46222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46222</v>
      </c>
      <c r="F257" t="inlineStr">
        <is>
          <t>VÄRMLANDS LÄN</t>
        </is>
      </c>
      <c r="G257" t="inlineStr">
        <is>
          <t>EDA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46222</v>
      </c>
      <c r="F258" t="inlineStr">
        <is>
          <t>VÄRMLANDS LÄN</t>
        </is>
      </c>
      <c r="G258" t="inlineStr">
        <is>
          <t>EDA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50120-2024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46222</v>
      </c>
      <c r="F259" t="inlineStr">
        <is>
          <t>VÄRMLANDS LÄN</t>
        </is>
      </c>
      <c r="G259" t="inlineStr">
        <is>
          <t>EDA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46222</v>
      </c>
      <c r="F260" t="inlineStr">
        <is>
          <t>VÄRMLANDS LÄN</t>
        </is>
      </c>
      <c r="G260" t="inlineStr">
        <is>
          <t>EDA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47028-2025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46222</v>
      </c>
      <c r="F261" t="inlineStr">
        <is>
          <t>VÄRMLANDS LÄN</t>
        </is>
      </c>
      <c r="G261" t="inlineStr">
        <is>
          <t>EDA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46222</v>
      </c>
      <c r="F262" t="inlineStr">
        <is>
          <t>VÄRMLANDS LÄN</t>
        </is>
      </c>
      <c r="G262" t="inlineStr">
        <is>
          <t>EDA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46222</v>
      </c>
      <c r="F263" t="inlineStr">
        <is>
          <t>VÄRMLANDS LÄN</t>
        </is>
      </c>
      <c r="G263" t="inlineStr">
        <is>
          <t>EDA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20052-2024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45434</v>
      </c>
      <c r="E264" s="1" t="n">
        <v>46222</v>
      </c>
      <c r="F264" t="inlineStr">
        <is>
          <t>VÄRMLANDS LÄN</t>
        </is>
      </c>
      <c r="G264" t="inlineStr">
        <is>
          <t>EDA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17780-2023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46222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46222</v>
      </c>
      <c r="F266" t="inlineStr">
        <is>
          <t>VÄRMLANDS LÄN</t>
        </is>
      </c>
      <c r="G266" t="inlineStr">
        <is>
          <t>EDA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46222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45609</v>
      </c>
      <c r="E268" s="1" t="n">
        <v>46222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48675-2025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46222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46222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46222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46222</v>
      </c>
      <c r="F272" t="inlineStr">
        <is>
          <t>VÄRMLANDS LÄN</t>
        </is>
      </c>
      <c r="G272" t="inlineStr">
        <is>
          <t>EDA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63613-2023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46222</v>
      </c>
      <c r="F273" t="inlineStr">
        <is>
          <t>VÄRMLANDS LÄN</t>
        </is>
      </c>
      <c r="G273" t="inlineStr">
        <is>
          <t>EDA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48769-2025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46222</v>
      </c>
      <c r="F274" t="inlineStr">
        <is>
          <t>VÄRMLANDS LÄN</t>
        </is>
      </c>
      <c r="G274" t="inlineStr">
        <is>
          <t>EDA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57253-2021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44482</v>
      </c>
      <c r="E275" s="1" t="n">
        <v>46222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59515-2024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46222</v>
      </c>
      <c r="F276" t="inlineStr">
        <is>
          <t>VÄRMLANDS LÄN</t>
        </is>
      </c>
      <c r="G276" t="inlineStr">
        <is>
          <t>EDA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7282-2023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46222</v>
      </c>
      <c r="F277" t="inlineStr">
        <is>
          <t>VÄRMLANDS LÄN</t>
        </is>
      </c>
      <c r="G277" t="inlineStr">
        <is>
          <t>EDA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46222</v>
      </c>
      <c r="F278" t="inlineStr">
        <is>
          <t>VÄRMLANDS LÄN</t>
        </is>
      </c>
      <c r="G278" t="inlineStr">
        <is>
          <t>EDA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49186-2025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46222</v>
      </c>
      <c r="F279" t="inlineStr">
        <is>
          <t>VÄRMLANDS LÄN</t>
        </is>
      </c>
      <c r="G279" t="inlineStr">
        <is>
          <t>EDA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22721-2022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44714</v>
      </c>
      <c r="E280" s="1" t="n">
        <v>46222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49931-2025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46222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55011-2021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44474</v>
      </c>
      <c r="E282" s="1" t="n">
        <v>46222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54481-2024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46222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49926-2025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46222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20495-2024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45435</v>
      </c>
      <c r="E285" s="1" t="n">
        <v>46222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12111-2023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46222</v>
      </c>
      <c r="F286" t="inlineStr">
        <is>
          <t>VÄRMLANDS LÄN</t>
        </is>
      </c>
      <c r="G286" t="inlineStr">
        <is>
          <t>EDA</t>
        </is>
      </c>
      <c r="I286" t="n">
        <v>13.6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67162-2021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44523</v>
      </c>
      <c r="E287" s="1" t="n">
        <v>46222</v>
      </c>
      <c r="F287" t="inlineStr">
        <is>
          <t>VÄRMLANDS LÄN</t>
        </is>
      </c>
      <c r="G287" t="inlineStr">
        <is>
          <t>EDA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53416-2024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46222</v>
      </c>
      <c r="F288" t="inlineStr">
        <is>
          <t>VÄRMLANDS LÄN</t>
        </is>
      </c>
      <c r="G288" t="inlineStr">
        <is>
          <t>EDA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7460-2026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46222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38013-2025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46222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38014-2025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45882</v>
      </c>
      <c r="E291" s="1" t="n">
        <v>46222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62324-2023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46222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46222</v>
      </c>
      <c r="F293" t="inlineStr">
        <is>
          <t>VÄRMLANDS LÄN</t>
        </is>
      </c>
      <c r="G293" t="inlineStr">
        <is>
          <t>EDA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7455-2026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46222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7815-2026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46222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57293-2024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46222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51407-2025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45950</v>
      </c>
      <c r="E297" s="1" t="n">
        <v>46222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7636-2026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46222</v>
      </c>
      <c r="F298" t="inlineStr">
        <is>
          <t>VÄRMLANDS LÄN</t>
        </is>
      </c>
      <c r="G298" t="inlineStr">
        <is>
          <t>EDA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53639-2024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46222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46222</v>
      </c>
      <c r="F300" t="inlineStr">
        <is>
          <t>VÄRMLANDS LÄN</t>
        </is>
      </c>
      <c r="G300" t="inlineStr">
        <is>
          <t>EDA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16065-2022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44665</v>
      </c>
      <c r="E301" s="1" t="n">
        <v>46222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8966-2023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46222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8388-2026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46222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12716-2025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46222</v>
      </c>
      <c r="F304" t="inlineStr">
        <is>
          <t>VÄRMLANDS LÄN</t>
        </is>
      </c>
      <c r="G304" t="inlineStr">
        <is>
          <t>EDA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8790-2026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46222</v>
      </c>
      <c r="F305" t="inlineStr">
        <is>
          <t>VÄRMLANDS LÄN</t>
        </is>
      </c>
      <c r="G305" t="inlineStr">
        <is>
          <t>EDA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52834-2025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46222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43442-2023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46222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9087-2026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46222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44006-2023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46222</v>
      </c>
      <c r="F309" t="inlineStr">
        <is>
          <t>VÄRMLANDS LÄN</t>
        </is>
      </c>
      <c r="G309" t="inlineStr">
        <is>
          <t>EDA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18076-2023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45040</v>
      </c>
      <c r="E310" s="1" t="n">
        <v>46222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8919-2026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46222</v>
      </c>
      <c r="F311" t="inlineStr">
        <is>
          <t>VÄRMLANDS LÄN</t>
        </is>
      </c>
      <c r="G311" t="inlineStr">
        <is>
          <t>EDA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44189-2022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46222</v>
      </c>
      <c r="F312" t="inlineStr">
        <is>
          <t>VÄRMLANDS LÄN</t>
        </is>
      </c>
      <c r="G312" t="inlineStr">
        <is>
          <t>EDA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52338-2023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46222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54610-2025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46222</v>
      </c>
      <c r="F314" t="inlineStr">
        <is>
          <t>VÄRMLANDS LÄN</t>
        </is>
      </c>
      <c r="G314" t="inlineStr">
        <is>
          <t>EDA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45224</v>
      </c>
      <c r="E315" s="1" t="n">
        <v>46222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55097-2025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46222</v>
      </c>
      <c r="F316" t="inlineStr">
        <is>
          <t>VÄRMLANDS LÄN</t>
        </is>
      </c>
      <c r="G316" t="inlineStr">
        <is>
          <t>EDA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46222</v>
      </c>
      <c r="F317" t="inlineStr">
        <is>
          <t>VÄRMLANDS LÄN</t>
        </is>
      </c>
      <c r="G317" t="inlineStr">
        <is>
          <t>EDA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46222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46222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55478-2025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46222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55528-2025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46222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13765-2025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46222</v>
      </c>
      <c r="F322" t="inlineStr">
        <is>
          <t>VÄRMLANDS LÄN</t>
        </is>
      </c>
      <c r="G322" t="inlineStr">
        <is>
          <t>EDA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46297-2023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46222</v>
      </c>
      <c r="F323" t="inlineStr">
        <is>
          <t>VÄRMLANDS LÄN</t>
        </is>
      </c>
      <c r="G323" t="inlineStr">
        <is>
          <t>EDA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11469-2026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46222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11485-2026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46222</v>
      </c>
      <c r="F325" t="inlineStr">
        <is>
          <t>VÄRMLANDS LÄN</t>
        </is>
      </c>
      <c r="G325" t="inlineStr">
        <is>
          <t>EDA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56511-2025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45975</v>
      </c>
      <c r="E326" s="1" t="n">
        <v>46222</v>
      </c>
      <c r="F326" t="inlineStr">
        <is>
          <t>VÄRMLANDS LÄN</t>
        </is>
      </c>
      <c r="G326" t="inlineStr">
        <is>
          <t>EDA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57121-2023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45245</v>
      </c>
      <c r="E327" s="1" t="n">
        <v>46222</v>
      </c>
      <c r="F327" t="inlineStr">
        <is>
          <t>VÄRMLANDS LÄN</t>
        </is>
      </c>
      <c r="G327" t="inlineStr">
        <is>
          <t>EDA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46222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40920-2023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46222</v>
      </c>
      <c r="F329" t="inlineStr">
        <is>
          <t>VÄRMLANDS LÄN</t>
        </is>
      </c>
      <c r="G329" t="inlineStr">
        <is>
          <t>EDA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33920-2022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46222</v>
      </c>
      <c r="F330" t="inlineStr">
        <is>
          <t>VÄRMLANDS LÄN</t>
        </is>
      </c>
      <c r="G330" t="inlineStr">
        <is>
          <t>EDA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57433-2025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46222</v>
      </c>
      <c r="F331" t="inlineStr">
        <is>
          <t>VÄRMLANDS LÄN</t>
        </is>
      </c>
      <c r="G331" t="inlineStr">
        <is>
          <t>EDA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48288-2022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46222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11562-2026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46222</v>
      </c>
      <c r="F333" t="inlineStr">
        <is>
          <t>VÄRMLANDS LÄN</t>
        </is>
      </c>
      <c r="G333" t="inlineStr">
        <is>
          <t>EDA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35878-2024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46222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11983-2026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46222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11985-2026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46222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47750-2024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46222</v>
      </c>
      <c r="F337" t="inlineStr">
        <is>
          <t>VÄRMLANDS LÄN</t>
        </is>
      </c>
      <c r="G337" t="inlineStr">
        <is>
          <t>EDA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58179-2023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45250</v>
      </c>
      <c r="E338" s="1" t="n">
        <v>46222</v>
      </c>
      <c r="F338" t="inlineStr">
        <is>
          <t>VÄRMLANDS LÄN</t>
        </is>
      </c>
      <c r="G338" t="inlineStr">
        <is>
          <t>EDA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46222</v>
      </c>
      <c r="F339" t="inlineStr">
        <is>
          <t>VÄRMLANDS LÄN</t>
        </is>
      </c>
      <c r="G339" t="inlineStr">
        <is>
          <t>EDA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57641-2025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46222</v>
      </c>
      <c r="F340" t="inlineStr">
        <is>
          <t>VÄRMLANDS LÄN</t>
        </is>
      </c>
      <c r="G340" t="inlineStr">
        <is>
          <t>EDA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12003-2026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46222</v>
      </c>
      <c r="F341" t="inlineStr">
        <is>
          <t>VÄRMLANDS LÄN</t>
        </is>
      </c>
      <c r="G341" t="inlineStr">
        <is>
          <t>EDA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46222</v>
      </c>
      <c r="F342" t="inlineStr">
        <is>
          <t>VÄRMLANDS LÄN</t>
        </is>
      </c>
      <c r="G342" t="inlineStr">
        <is>
          <t>EDA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46222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52809-2021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46222</v>
      </c>
      <c r="F344" t="inlineStr">
        <is>
          <t>VÄRMLANDS LÄN</t>
        </is>
      </c>
      <c r="G344" t="inlineStr">
        <is>
          <t>EDA</t>
        </is>
      </c>
      <c r="H344" t="inlineStr">
        <is>
          <t>Övriga Aktiebolag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46222</v>
      </c>
      <c r="F345" t="inlineStr">
        <is>
          <t>VÄRMLANDS LÄN</t>
        </is>
      </c>
      <c r="G345" t="inlineStr">
        <is>
          <t>EDA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13482-2025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46222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20056-2023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45054</v>
      </c>
      <c r="E347" s="1" t="n">
        <v>46222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60034-2025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46222</v>
      </c>
      <c r="F348" t="inlineStr">
        <is>
          <t>VÄRMLANDS LÄN</t>
        </is>
      </c>
      <c r="G348" t="inlineStr">
        <is>
          <t>EDA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46222</v>
      </c>
      <c r="F349" t="inlineStr">
        <is>
          <t>VÄRMLANDS LÄN</t>
        </is>
      </c>
      <c r="G349" t="inlineStr">
        <is>
          <t>EDA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12508-2026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46222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17593-2023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46222</v>
      </c>
      <c r="F351" t="inlineStr">
        <is>
          <t>VÄRMLANDS LÄN</t>
        </is>
      </c>
      <c r="G351" t="inlineStr">
        <is>
          <t>EDA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46222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46222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12911-2026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46222</v>
      </c>
      <c r="F354" t="inlineStr">
        <is>
          <t>VÄRMLANDS LÄN</t>
        </is>
      </c>
      <c r="G354" t="inlineStr">
        <is>
          <t>EDA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46222</v>
      </c>
      <c r="F355" t="inlineStr">
        <is>
          <t>VÄRMLANDS LÄN</t>
        </is>
      </c>
      <c r="G355" t="inlineStr">
        <is>
          <t>EDA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46222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12925-2026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46222</v>
      </c>
      <c r="F357" t="inlineStr">
        <is>
          <t>VÄRMLANDS LÄN</t>
        </is>
      </c>
      <c r="G357" t="inlineStr">
        <is>
          <t>EDA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46222</v>
      </c>
      <c r="F358" t="inlineStr">
        <is>
          <t>VÄRMLANDS LÄN</t>
        </is>
      </c>
      <c r="G358" t="inlineStr">
        <is>
          <t>EDA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54678-2022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46222</v>
      </c>
      <c r="F359" t="inlineStr">
        <is>
          <t>VÄRMLANDS LÄN</t>
        </is>
      </c>
      <c r="G359" t="inlineStr">
        <is>
          <t>EDA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12927-2026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46222</v>
      </c>
      <c r="F360" t="inlineStr">
        <is>
          <t>VÄRMLANDS LÄN</t>
        </is>
      </c>
      <c r="G360" t="inlineStr">
        <is>
          <t>EDA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25807-2023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46222</v>
      </c>
      <c r="F361" t="inlineStr">
        <is>
          <t>VÄRMLANDS LÄN</t>
        </is>
      </c>
      <c r="G361" t="inlineStr">
        <is>
          <t>EDA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12909-2026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46222</v>
      </c>
      <c r="F362" t="inlineStr">
        <is>
          <t>VÄRMLANDS LÄN</t>
        </is>
      </c>
      <c r="G362" t="inlineStr">
        <is>
          <t>EDA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46222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46222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46222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60529-2025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46222</v>
      </c>
      <c r="F366" t="inlineStr">
        <is>
          <t>VÄRMLANDS LÄN</t>
        </is>
      </c>
      <c r="G366" t="inlineStr">
        <is>
          <t>EDA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57138-2023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46222</v>
      </c>
      <c r="F367" t="inlineStr">
        <is>
          <t>VÄRMLANDS LÄN</t>
        </is>
      </c>
      <c r="G367" t="inlineStr">
        <is>
          <t>EDA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14206-2026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46222</v>
      </c>
      <c r="F368" t="inlineStr">
        <is>
          <t>VÄRMLANDS LÄN</t>
        </is>
      </c>
      <c r="G368" t="inlineStr">
        <is>
          <t>EDA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46222</v>
      </c>
      <c r="F369" t="inlineStr">
        <is>
          <t>VÄRMLANDS LÄN</t>
        </is>
      </c>
      <c r="G369" t="inlineStr">
        <is>
          <t>EDA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46222</v>
      </c>
      <c r="F370" t="inlineStr">
        <is>
          <t>VÄRMLANDS LÄN</t>
        </is>
      </c>
      <c r="G370" t="inlineStr">
        <is>
          <t>EDA</t>
        </is>
      </c>
      <c r="I370" t="n">
        <v>11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61225-2025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46222</v>
      </c>
      <c r="F371" t="inlineStr">
        <is>
          <t>VÄRMLANDS LÄN</t>
        </is>
      </c>
      <c r="G371" t="inlineStr">
        <is>
          <t>EDA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60646-2025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46222</v>
      </c>
      <c r="F372" t="inlineStr">
        <is>
          <t>VÄRMLANDS LÄN</t>
        </is>
      </c>
      <c r="G372" t="inlineStr">
        <is>
          <t>EDA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46222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46222</v>
      </c>
      <c r="F374" t="inlineStr">
        <is>
          <t>VÄRMLANDS LÄN</t>
        </is>
      </c>
      <c r="G374" t="inlineStr">
        <is>
          <t>EDA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46002</v>
      </c>
      <c r="E375" s="1" t="n">
        <v>46222</v>
      </c>
      <c r="F375" t="inlineStr">
        <is>
          <t>VÄRMLANDS LÄN</t>
        </is>
      </c>
      <c r="G375" t="inlineStr">
        <is>
          <t>EDA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26831-2023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46222</v>
      </c>
      <c r="F376" t="inlineStr">
        <is>
          <t>VÄRMLANDS LÄN</t>
        </is>
      </c>
      <c r="G376" t="inlineStr">
        <is>
          <t>EDA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46222</v>
      </c>
      <c r="F377" t="inlineStr">
        <is>
          <t>VÄRMLANDS LÄN</t>
        </is>
      </c>
      <c r="G377" t="inlineStr">
        <is>
          <t>EDA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62344-2025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46222</v>
      </c>
      <c r="F378" t="inlineStr">
        <is>
          <t>VÄRMLANDS LÄN</t>
        </is>
      </c>
      <c r="G378" t="inlineStr">
        <is>
          <t>EDA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18059-2023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45040</v>
      </c>
      <c r="E379" s="1" t="n">
        <v>46222</v>
      </c>
      <c r="F379" t="inlineStr">
        <is>
          <t>VÄRMLANDS LÄN</t>
        </is>
      </c>
      <c r="G379" t="inlineStr">
        <is>
          <t>EDA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62343-2025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46222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25437-2023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46222</v>
      </c>
      <c r="F381" t="inlineStr">
        <is>
          <t>VÄRMLANDS LÄN</t>
        </is>
      </c>
      <c r="G381" t="inlineStr">
        <is>
          <t>EDA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20049-2023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46222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20052-2023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45054</v>
      </c>
      <c r="E383" s="1" t="n">
        <v>46222</v>
      </c>
      <c r="F383" t="inlineStr">
        <is>
          <t>VÄRMLANDS LÄN</t>
        </is>
      </c>
      <c r="G383" t="inlineStr">
        <is>
          <t>EDA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62598-2025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46222</v>
      </c>
      <c r="F384" t="inlineStr">
        <is>
          <t>VÄRMLANDS LÄN</t>
        </is>
      </c>
      <c r="G384" t="inlineStr">
        <is>
          <t>EDA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63064-2025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46222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63150-2025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46222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14500-2026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46222</v>
      </c>
      <c r="F387" t="inlineStr">
        <is>
          <t>VÄRMLANDS LÄN</t>
        </is>
      </c>
      <c r="G387" t="inlineStr">
        <is>
          <t>EDA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40667-2021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44420</v>
      </c>
      <c r="E388" s="1" t="n">
        <v>46222</v>
      </c>
      <c r="F388" t="inlineStr">
        <is>
          <t>VÄRMLANDS LÄN</t>
        </is>
      </c>
      <c r="G388" t="inlineStr">
        <is>
          <t>EDA</t>
        </is>
      </c>
      <c r="I388" t="n">
        <v>8.199999999999999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63248-2025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46222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45751</v>
      </c>
      <c r="E390" s="1" t="n">
        <v>46222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14670-2026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46222</v>
      </c>
      <c r="F391" t="inlineStr">
        <is>
          <t>VÄRMLANDS LÄN</t>
        </is>
      </c>
      <c r="G391" t="inlineStr">
        <is>
          <t>EDA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63478-2025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46222</v>
      </c>
      <c r="F392" t="inlineStr">
        <is>
          <t>VÄRMLANDS LÄN</t>
        </is>
      </c>
      <c r="G392" t="inlineStr">
        <is>
          <t>EDA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63479-2025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46222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46222</v>
      </c>
      <c r="F394" t="inlineStr">
        <is>
          <t>VÄRMLANDS LÄN</t>
        </is>
      </c>
      <c r="G394" t="inlineStr">
        <is>
          <t>EDA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40826-2024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46222</v>
      </c>
      <c r="F395" t="inlineStr">
        <is>
          <t>VÄRMLANDS LÄN</t>
        </is>
      </c>
      <c r="G395" t="inlineStr">
        <is>
          <t>EDA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46222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46016</v>
      </c>
      <c r="E397" s="1" t="n">
        <v>46222</v>
      </c>
      <c r="F397" t="inlineStr">
        <is>
          <t>VÄRMLANDS LÄN</t>
        </is>
      </c>
      <c r="G397" t="inlineStr">
        <is>
          <t>EDA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46222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46222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46222</v>
      </c>
      <c r="F400" t="inlineStr">
        <is>
          <t>VÄRMLANDS LÄN</t>
        </is>
      </c>
      <c r="G400" t="inlineStr">
        <is>
          <t>EDA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46222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46222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6494-2023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44966</v>
      </c>
      <c r="E403" s="1" t="n">
        <v>46222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6537-2023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44966</v>
      </c>
      <c r="E404" s="1" t="n">
        <v>46222</v>
      </c>
      <c r="F404" t="inlineStr">
        <is>
          <t>VÄRMLANDS LÄN</t>
        </is>
      </c>
      <c r="G404" t="inlineStr">
        <is>
          <t>EDA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58261-2022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44901</v>
      </c>
      <c r="E405" s="1" t="n">
        <v>46222</v>
      </c>
      <c r="F405" t="inlineStr">
        <is>
          <t>VÄRMLANDS LÄN</t>
        </is>
      </c>
      <c r="G405" t="inlineStr">
        <is>
          <t>EDA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46222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14842-2026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46222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63990-2025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46222</v>
      </c>
      <c r="F408" t="inlineStr">
        <is>
          <t>VÄRMLANDS LÄN</t>
        </is>
      </c>
      <c r="G408" t="inlineStr">
        <is>
          <t>EDA</t>
        </is>
      </c>
      <c r="H408" t="inlineStr">
        <is>
          <t>Övriga Aktiebolag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45336</v>
      </c>
      <c r="E409" s="1" t="n">
        <v>46222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46222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46222</v>
      </c>
      <c r="F411" t="inlineStr">
        <is>
          <t>VÄRMLANDS LÄN</t>
        </is>
      </c>
      <c r="G411" t="inlineStr">
        <is>
          <t>EDA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46222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46222</v>
      </c>
      <c r="F413" t="inlineStr">
        <is>
          <t>VÄRMLANDS LÄN</t>
        </is>
      </c>
      <c r="G413" t="inlineStr">
        <is>
          <t>EDA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46222</v>
      </c>
      <c r="F414" t="inlineStr">
        <is>
          <t>VÄRMLANDS LÄN</t>
        </is>
      </c>
      <c r="G414" t="inlineStr">
        <is>
          <t>EDA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70554-2021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46222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29401-2023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46222</v>
      </c>
      <c r="F416" t="inlineStr">
        <is>
          <t>VÄRMLANDS LÄN</t>
        </is>
      </c>
      <c r="G416" t="inlineStr">
        <is>
          <t>EDA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46222</v>
      </c>
      <c r="F417" t="inlineStr">
        <is>
          <t>VÄRMLANDS LÄN</t>
        </is>
      </c>
      <c r="G417" t="inlineStr">
        <is>
          <t>EDA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14951-2023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46222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15682-2026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46222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46222</v>
      </c>
      <c r="F420" t="inlineStr">
        <is>
          <t>VÄRMLANDS LÄN</t>
        </is>
      </c>
      <c r="G420" t="inlineStr">
        <is>
          <t>EDA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71724-2021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44543</v>
      </c>
      <c r="E421" s="1" t="n">
        <v>46222</v>
      </c>
      <c r="F421" t="inlineStr">
        <is>
          <t>VÄRMLANDS LÄN</t>
        </is>
      </c>
      <c r="G421" t="inlineStr">
        <is>
          <t>EDA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46222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34917-2023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45142</v>
      </c>
      <c r="E423" s="1" t="n">
        <v>46222</v>
      </c>
      <c r="F423" t="inlineStr">
        <is>
          <t>VÄRMLANDS LÄN</t>
        </is>
      </c>
      <c r="G423" t="inlineStr">
        <is>
          <t>EDA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46222</v>
      </c>
      <c r="F424" t="inlineStr">
        <is>
          <t>VÄRMLANDS LÄN</t>
        </is>
      </c>
      <c r="G424" t="inlineStr">
        <is>
          <t>EDA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46222</v>
      </c>
      <c r="F425" t="inlineStr">
        <is>
          <t>VÄRMLANDS LÄN</t>
        </is>
      </c>
      <c r="G425" t="inlineStr">
        <is>
          <t>EDA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35317-2023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45146</v>
      </c>
      <c r="E426" s="1" t="n">
        <v>46222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34635-2023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46222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46222</v>
      </c>
      <c r="F428" t="inlineStr">
        <is>
          <t>VÄRMLANDS LÄN</t>
        </is>
      </c>
      <c r="G428" t="inlineStr">
        <is>
          <t>EDA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25848-2024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45467</v>
      </c>
      <c r="E429" s="1" t="n">
        <v>46222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35705-2024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46222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36157-2023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45149</v>
      </c>
      <c r="E431" s="1" t="n">
        <v>46222</v>
      </c>
      <c r="F431" t="inlineStr">
        <is>
          <t>VÄRMLANDS LÄN</t>
        </is>
      </c>
      <c r="G431" t="inlineStr">
        <is>
          <t>EDA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15956-2026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46108</v>
      </c>
      <c r="E432" s="1" t="n">
        <v>46222</v>
      </c>
      <c r="F432" t="inlineStr">
        <is>
          <t>VÄRMLANDS LÄN</t>
        </is>
      </c>
      <c r="G432" t="inlineStr">
        <is>
          <t>EDA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46222</v>
      </c>
      <c r="F433" t="inlineStr">
        <is>
          <t>VÄRMLANDS LÄN</t>
        </is>
      </c>
      <c r="G433" t="inlineStr">
        <is>
          <t>EDA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28483-2024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45477</v>
      </c>
      <c r="E434" s="1" t="n">
        <v>46222</v>
      </c>
      <c r="F434" t="inlineStr">
        <is>
          <t>VÄRMLANDS LÄN</t>
        </is>
      </c>
      <c r="G434" t="inlineStr">
        <is>
          <t>EDA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45510</v>
      </c>
      <c r="E435" s="1" t="n">
        <v>46222</v>
      </c>
      <c r="F435" t="inlineStr">
        <is>
          <t>VÄRMLANDS LÄN</t>
        </is>
      </c>
      <c r="G435" t="inlineStr">
        <is>
          <t>EDA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17225-2026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46222</v>
      </c>
      <c r="F436" t="inlineStr">
        <is>
          <t>VÄRMLANDS LÄN</t>
        </is>
      </c>
      <c r="G436" t="inlineStr">
        <is>
          <t>EDA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10878-2023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44991</v>
      </c>
      <c r="E437" s="1" t="n">
        <v>46222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17308-2026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46222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72669-2021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44546</v>
      </c>
      <c r="E439" s="1" t="n">
        <v>46222</v>
      </c>
      <c r="F439" t="inlineStr">
        <is>
          <t>VÄRMLANDS LÄN</t>
        </is>
      </c>
      <c r="G439" t="inlineStr">
        <is>
          <t>EDA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17311-2026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46222</v>
      </c>
      <c r="F440" t="inlineStr">
        <is>
          <t>VÄRMLANDS LÄN</t>
        </is>
      </c>
      <c r="G440" t="inlineStr">
        <is>
          <t>EDA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46222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45306</v>
      </c>
      <c r="E442" s="1" t="n">
        <v>46222</v>
      </c>
      <c r="F442" t="inlineStr">
        <is>
          <t>VÄRMLANDS LÄN</t>
        </is>
      </c>
      <c r="G442" t="inlineStr">
        <is>
          <t>EDA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24620-2023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45084</v>
      </c>
      <c r="E443" s="1" t="n">
        <v>46222</v>
      </c>
      <c r="F443" t="inlineStr">
        <is>
          <t>VÄRMLANDS LÄN</t>
        </is>
      </c>
      <c r="G443" t="inlineStr">
        <is>
          <t>EDA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9319-2026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46222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46222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46222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27680-2024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46222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17992-2026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46124</v>
      </c>
      <c r="E448" s="1" t="n">
        <v>46222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46124</v>
      </c>
      <c r="E449" s="1" t="n">
        <v>46222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19475-2024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46222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18470-2026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46222</v>
      </c>
      <c r="F451" t="inlineStr">
        <is>
          <t>VÄRMLANDS LÄN</t>
        </is>
      </c>
      <c r="G451" t="inlineStr">
        <is>
          <t>EDA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61999-2024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45654</v>
      </c>
      <c r="E452" s="1" t="n">
        <v>46222</v>
      </c>
      <c r="F452" t="inlineStr">
        <is>
          <t>VÄRMLANDS LÄN</t>
        </is>
      </c>
      <c r="G452" t="inlineStr">
        <is>
          <t>EDA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22062-2024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45443</v>
      </c>
      <c r="E453" s="1" t="n">
        <v>46222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17742-2025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45758</v>
      </c>
      <c r="E454" s="1" t="n">
        <v>46222</v>
      </c>
      <c r="F454" t="inlineStr">
        <is>
          <t>VÄRMLANDS LÄN</t>
        </is>
      </c>
      <c r="G454" t="inlineStr">
        <is>
          <t>EDA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7244-2023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44970</v>
      </c>
      <c r="E455" s="1" t="n">
        <v>46222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15860-2025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45749</v>
      </c>
      <c r="E456" s="1" t="n">
        <v>46222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54173-2024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46222</v>
      </c>
      <c r="F457" t="inlineStr">
        <is>
          <t>VÄRMLANDS LÄN</t>
        </is>
      </c>
      <c r="G457" t="inlineStr">
        <is>
          <t>EDA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60477-2022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46222</v>
      </c>
      <c r="F458" t="inlineStr">
        <is>
          <t>VÄRMLANDS LÄN</t>
        </is>
      </c>
      <c r="G458" t="inlineStr">
        <is>
          <t>EDA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46222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46222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3570-2022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44586</v>
      </c>
      <c r="E461" s="1" t="n">
        <v>46222</v>
      </c>
      <c r="F461" t="inlineStr">
        <is>
          <t>VÄRMLANDS LÄN</t>
        </is>
      </c>
      <c r="G461" t="inlineStr">
        <is>
          <t>EDA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31860-2023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46222</v>
      </c>
      <c r="F462" t="inlineStr">
        <is>
          <t>VÄRMLANDS LÄN</t>
        </is>
      </c>
      <c r="G462" t="inlineStr">
        <is>
          <t>EDA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9221-2025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45714</v>
      </c>
      <c r="E463" s="1" t="n">
        <v>46222</v>
      </c>
      <c r="F463" t="inlineStr">
        <is>
          <t>VÄRMLANDS LÄN</t>
        </is>
      </c>
      <c r="G463" t="inlineStr">
        <is>
          <t>EDA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34914-2023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45142</v>
      </c>
      <c r="E464" s="1" t="n">
        <v>46222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46222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46222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45336</v>
      </c>
      <c r="E467" s="1" t="n">
        <v>46222</v>
      </c>
      <c r="F467" t="inlineStr">
        <is>
          <t>VÄRMLANDS LÄN</t>
        </is>
      </c>
      <c r="G467" t="inlineStr">
        <is>
          <t>EDA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22083-2024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46222</v>
      </c>
      <c r="F468" t="inlineStr">
        <is>
          <t>VÄRMLANDS LÄN</t>
        </is>
      </c>
      <c r="G468" t="inlineStr">
        <is>
          <t>EDA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62761-2023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45271</v>
      </c>
      <c r="E469" s="1" t="n">
        <v>46222</v>
      </c>
      <c r="F469" t="inlineStr">
        <is>
          <t>VÄRMLANDS LÄN</t>
        </is>
      </c>
      <c r="G469" t="inlineStr">
        <is>
          <t>EDA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47815-2023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45204</v>
      </c>
      <c r="E470" s="1" t="n">
        <v>46222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51143-2024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46222</v>
      </c>
      <c r="F471" t="inlineStr">
        <is>
          <t>VÄRMLANDS LÄN</t>
        </is>
      </c>
      <c r="G471" t="inlineStr">
        <is>
          <t>EDA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20922-2023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45061</v>
      </c>
      <c r="E472" s="1" t="n">
        <v>46222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46222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53401-2024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46222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46222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32323-2024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45512</v>
      </c>
      <c r="E476" s="1" t="n">
        <v>46222</v>
      </c>
      <c r="F476" t="inlineStr">
        <is>
          <t>VÄRMLANDS LÄN</t>
        </is>
      </c>
      <c r="G476" t="inlineStr">
        <is>
          <t>EDA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47796-2023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46222</v>
      </c>
      <c r="F477" t="inlineStr">
        <is>
          <t>VÄRMLANDS LÄN</t>
        </is>
      </c>
      <c r="G477" t="inlineStr">
        <is>
          <t>EDA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20055-2023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45054</v>
      </c>
      <c r="E478" s="1" t="n">
        <v>46222</v>
      </c>
      <c r="F478" t="inlineStr">
        <is>
          <t>VÄRMLANDS LÄN</t>
        </is>
      </c>
      <c r="G478" t="inlineStr">
        <is>
          <t>EDA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48334-2021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44451</v>
      </c>
      <c r="E479" s="1" t="n">
        <v>46222</v>
      </c>
      <c r="F479" t="inlineStr">
        <is>
          <t>VÄRMLANDS LÄN</t>
        </is>
      </c>
      <c r="G479" t="inlineStr">
        <is>
          <t>EDA</t>
        </is>
      </c>
      <c r="I479" t="n">
        <v>12.4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57323-2024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46222</v>
      </c>
      <c r="F480" t="inlineStr">
        <is>
          <t>VÄRMLANDS LÄN</t>
        </is>
      </c>
      <c r="G480" t="inlineStr">
        <is>
          <t>EDA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3027-2022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46222</v>
      </c>
      <c r="F481" t="inlineStr">
        <is>
          <t>VÄRMLANDS LÄN</t>
        </is>
      </c>
      <c r="G481" t="inlineStr">
        <is>
          <t>EDA</t>
        </is>
      </c>
      <c r="I481" t="n">
        <v>22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35583-2025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46222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35584-2025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45856</v>
      </c>
      <c r="E483" s="1" t="n">
        <v>46222</v>
      </c>
      <c r="F483" t="inlineStr">
        <is>
          <t>VÄRMLANDS LÄN</t>
        </is>
      </c>
      <c r="G483" t="inlineStr">
        <is>
          <t>EDA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55903-2024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45623</v>
      </c>
      <c r="E484" s="1" t="n">
        <v>46222</v>
      </c>
      <c r="F484" t="inlineStr">
        <is>
          <t>VÄRMLANDS LÄN</t>
        </is>
      </c>
      <c r="G484" t="inlineStr">
        <is>
          <t>EDA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50106-2022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44865</v>
      </c>
      <c r="E485" s="1" t="n">
        <v>46222</v>
      </c>
      <c r="F485" t="inlineStr">
        <is>
          <t>VÄRMLANDS LÄN</t>
        </is>
      </c>
      <c r="G485" t="inlineStr">
        <is>
          <t>EDA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43974-2025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46222</v>
      </c>
      <c r="F486" t="inlineStr">
        <is>
          <t>VÄRMLANDS LÄN</t>
        </is>
      </c>
      <c r="G486" t="inlineStr">
        <is>
          <t>EDA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36438-2022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44804</v>
      </c>
      <c r="E487" s="1" t="n">
        <v>46222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12113-2022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44636</v>
      </c>
      <c r="E488" s="1" t="n">
        <v>46222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46222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11146-2022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44629</v>
      </c>
      <c r="E490" s="1" t="n">
        <v>46222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20560-2026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46222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37298-2023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46222</v>
      </c>
      <c r="F492" t="inlineStr">
        <is>
          <t>VÄRMLANDS LÄN</t>
        </is>
      </c>
      <c r="G492" t="inlineStr">
        <is>
          <t>EDA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45671</v>
      </c>
      <c r="E493" s="1" t="n">
        <v>46222</v>
      </c>
      <c r="F493" t="inlineStr">
        <is>
          <t>VÄRMLANDS LÄN</t>
        </is>
      </c>
      <c r="G493" t="inlineStr">
        <is>
          <t>EDA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46222</v>
      </c>
      <c r="F494" t="inlineStr">
        <is>
          <t>VÄRMLANDS LÄN</t>
        </is>
      </c>
      <c r="G494" t="inlineStr">
        <is>
          <t>EDA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26167-2023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45091</v>
      </c>
      <c r="E495" s="1" t="n">
        <v>46222</v>
      </c>
      <c r="F495" t="inlineStr">
        <is>
          <t>VÄRMLANDS LÄN</t>
        </is>
      </c>
      <c r="G495" t="inlineStr">
        <is>
          <t>EDA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26174-2023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45091</v>
      </c>
      <c r="E496" s="1" t="n">
        <v>46222</v>
      </c>
      <c r="F496" t="inlineStr">
        <is>
          <t>VÄRMLANDS LÄN</t>
        </is>
      </c>
      <c r="G496" t="inlineStr">
        <is>
          <t>EDA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26004-2025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46222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46222</v>
      </c>
      <c r="F498" t="inlineStr">
        <is>
          <t>VÄRMLANDS LÄN</t>
        </is>
      </c>
      <c r="G498" t="inlineStr">
        <is>
          <t>EDA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46222</v>
      </c>
      <c r="F499" t="inlineStr">
        <is>
          <t>VÄRMLANDS LÄN</t>
        </is>
      </c>
      <c r="G499" t="inlineStr">
        <is>
          <t>EDA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9179-2025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45714</v>
      </c>
      <c r="E500" s="1" t="n">
        <v>46222</v>
      </c>
      <c r="F500" t="inlineStr">
        <is>
          <t>VÄRMLANDS LÄN</t>
        </is>
      </c>
      <c r="G500" t="inlineStr">
        <is>
          <t>EDA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12141-2023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46222</v>
      </c>
      <c r="F501" t="inlineStr">
        <is>
          <t>VÄRMLANDS LÄN</t>
        </is>
      </c>
      <c r="G501" t="inlineStr">
        <is>
          <t>EDA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20590-2026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46222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20592-2026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46222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45104</v>
      </c>
      <c r="E504" s="1" t="n">
        <v>46222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74069-2021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44557</v>
      </c>
      <c r="E505" s="1" t="n">
        <v>46222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41743-2023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46222</v>
      </c>
      <c r="F506" t="inlineStr">
        <is>
          <t>VÄRMLANDS LÄN</t>
        </is>
      </c>
      <c r="G506" t="inlineStr">
        <is>
          <t>EDA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54019-2023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46222</v>
      </c>
      <c r="F507" t="inlineStr">
        <is>
          <t>VÄRMLANDS LÄN</t>
        </is>
      </c>
      <c r="G507" t="inlineStr">
        <is>
          <t>EDA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56481-2023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46222</v>
      </c>
      <c r="F508" t="inlineStr">
        <is>
          <t>VÄRMLANDS LÄN</t>
        </is>
      </c>
      <c r="G508" t="inlineStr">
        <is>
          <t>EDA</t>
        </is>
      </c>
      <c r="I508" t="n">
        <v>9.9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45886-2023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46222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36685-2025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46222</v>
      </c>
      <c r="F510" t="inlineStr">
        <is>
          <t>VÄRMLANDS LÄN</t>
        </is>
      </c>
      <c r="G510" t="inlineStr">
        <is>
          <t>EDA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30500-2023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46222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12826-2025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45733</v>
      </c>
      <c r="E512" s="1" t="n">
        <v>46222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15044-2026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46222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25929-2025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46222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52368-2022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44874</v>
      </c>
      <c r="E515" s="1" t="n">
        <v>46222</v>
      </c>
      <c r="F515" t="inlineStr">
        <is>
          <t>VÄRMLANDS LÄN</t>
        </is>
      </c>
      <c r="G515" t="inlineStr">
        <is>
          <t>EDA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20557-2026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46222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46222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46293-2023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46222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60049-2024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46222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53961-2024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45616</v>
      </c>
      <c r="E520" s="1" t="n">
        <v>46222</v>
      </c>
      <c r="F520" t="inlineStr">
        <is>
          <t>VÄRMLANDS LÄN</t>
        </is>
      </c>
      <c r="G520" t="inlineStr">
        <is>
          <t>EDA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47883-2025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46222</v>
      </c>
      <c r="F521" t="inlineStr">
        <is>
          <t>VÄRMLANDS LÄN</t>
        </is>
      </c>
      <c r="G521" t="inlineStr">
        <is>
          <t>EDA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45866</v>
      </c>
      <c r="E522" s="1" t="n">
        <v>46222</v>
      </c>
      <c r="F522" t="inlineStr">
        <is>
          <t>VÄRMLANDS LÄN</t>
        </is>
      </c>
      <c r="G522" t="inlineStr">
        <is>
          <t>EDA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57865-2022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46222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59805-2021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46222</v>
      </c>
      <c r="F524" t="inlineStr">
        <is>
          <t>VÄRMLANDS LÄN</t>
        </is>
      </c>
      <c r="G524" t="inlineStr">
        <is>
          <t>EDA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46222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57125-2023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46222</v>
      </c>
      <c r="F526" t="inlineStr">
        <is>
          <t>VÄRMLANDS LÄN</t>
        </is>
      </c>
      <c r="G526" t="inlineStr">
        <is>
          <t>EDA</t>
        </is>
      </c>
      <c r="H526" t="inlineStr">
        <is>
          <t>Övriga Aktiebolag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16369-2025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45751</v>
      </c>
      <c r="E527" s="1" t="n">
        <v>46222</v>
      </c>
      <c r="F527" t="inlineStr">
        <is>
          <t>VÄRMLANDS LÄN</t>
        </is>
      </c>
      <c r="G527" t="inlineStr">
        <is>
          <t>EDA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46222</v>
      </c>
      <c r="F528" t="inlineStr">
        <is>
          <t>VÄRMLANDS LÄN</t>
        </is>
      </c>
      <c r="G528" t="inlineStr">
        <is>
          <t>EDA</t>
        </is>
      </c>
      <c r="I528" t="n">
        <v>12.9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31322-2023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46222</v>
      </c>
      <c r="F529" t="inlineStr">
        <is>
          <t>VÄRMLANDS LÄN</t>
        </is>
      </c>
      <c r="G529" t="inlineStr">
        <is>
          <t>EDA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52034-2024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46222</v>
      </c>
      <c r="F530" t="inlineStr">
        <is>
          <t>VÄRMLANDS LÄN</t>
        </is>
      </c>
      <c r="G530" t="inlineStr">
        <is>
          <t>EDA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46222</v>
      </c>
      <c r="F531" t="inlineStr">
        <is>
          <t>VÄRMLANDS LÄN</t>
        </is>
      </c>
      <c r="G531" t="inlineStr">
        <is>
          <t>EDA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46222</v>
      </c>
      <c r="F532" t="inlineStr">
        <is>
          <t>VÄRMLANDS LÄN</t>
        </is>
      </c>
      <c r="G532" t="inlineStr">
        <is>
          <t>EDA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4140-2025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46222</v>
      </c>
      <c r="F533" t="inlineStr">
        <is>
          <t>VÄRMLANDS LÄN</t>
        </is>
      </c>
      <c r="G533" t="inlineStr">
        <is>
          <t>EDA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46222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41047-2023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46222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41051-2023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46222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37559-2023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45159</v>
      </c>
      <c r="E537" s="1" t="n">
        <v>46222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26482-2026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46222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26823-2022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44740</v>
      </c>
      <c r="E539" s="1" t="n">
        <v>46222</v>
      </c>
      <c r="F539" t="inlineStr">
        <is>
          <t>VÄRMLANDS LÄN</t>
        </is>
      </c>
      <c r="G539" t="inlineStr">
        <is>
          <t>EDA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46222</v>
      </c>
      <c r="F540" t="inlineStr">
        <is>
          <t>VÄRMLANDS LÄN</t>
        </is>
      </c>
      <c r="G540" t="inlineStr">
        <is>
          <t>EDA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27522-2024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46222</v>
      </c>
      <c r="F541" t="inlineStr">
        <is>
          <t>VÄRMLANDS LÄN</t>
        </is>
      </c>
      <c r="G541" t="inlineStr">
        <is>
          <t>EDA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26947-2025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46222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711-2024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45300</v>
      </c>
      <c r="E543" s="1" t="n">
        <v>46222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62333-2023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46222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21112-2026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46222</v>
      </c>
      <c r="F545" t="inlineStr">
        <is>
          <t>VÄRMLANDS LÄN</t>
        </is>
      </c>
      <c r="G545" t="inlineStr">
        <is>
          <t>EDA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64287-2023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45279</v>
      </c>
      <c r="E546" s="1" t="n">
        <v>46222</v>
      </c>
      <c r="F546" t="inlineStr">
        <is>
          <t>VÄRMLANDS LÄN</t>
        </is>
      </c>
      <c r="G546" t="inlineStr">
        <is>
          <t>EDA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42413-2021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44427</v>
      </c>
      <c r="E547" s="1" t="n">
        <v>46222</v>
      </c>
      <c r="F547" t="inlineStr">
        <is>
          <t>VÄRMLANDS LÄN</t>
        </is>
      </c>
      <c r="G547" t="inlineStr">
        <is>
          <t>EDA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21267-2026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46222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45267</v>
      </c>
      <c r="E549" s="1" t="n">
        <v>46222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21522-2026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46222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21540-2026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46222</v>
      </c>
      <c r="F551" t="inlineStr">
        <is>
          <t>VÄRMLANDS LÄN</t>
        </is>
      </c>
      <c r="G551" t="inlineStr">
        <is>
          <t>EDA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21515-2026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46222</v>
      </c>
      <c r="F552" t="inlineStr">
        <is>
          <t>VÄRMLANDS LÄN</t>
        </is>
      </c>
      <c r="G552" t="inlineStr">
        <is>
          <t>EDA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45440</v>
      </c>
      <c r="E553" s="1" t="n">
        <v>46222</v>
      </c>
      <c r="F553" t="inlineStr">
        <is>
          <t>VÄRMLANDS LÄN</t>
        </is>
      </c>
      <c r="G553" t="inlineStr">
        <is>
          <t>EDA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46222</v>
      </c>
      <c r="F554" t="inlineStr">
        <is>
          <t>VÄRMLANDS LÄN</t>
        </is>
      </c>
      <c r="G554" t="inlineStr">
        <is>
          <t>EDA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60893-2023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46222</v>
      </c>
      <c r="F555" t="inlineStr">
        <is>
          <t>VÄRMLANDS LÄN</t>
        </is>
      </c>
      <c r="G555" t="inlineStr">
        <is>
          <t>EDA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21523-2026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46222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61546-2023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46222</v>
      </c>
      <c r="F557" t="inlineStr">
        <is>
          <t>VÄRMLANDS LÄN</t>
        </is>
      </c>
      <c r="G557" t="inlineStr">
        <is>
          <t>EDA</t>
        </is>
      </c>
      <c r="I557" t="n">
        <v>12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21286-2026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46147</v>
      </c>
      <c r="E558" s="1" t="n">
        <v>46222</v>
      </c>
      <c r="F558" t="inlineStr">
        <is>
          <t>VÄRMLANDS LÄN</t>
        </is>
      </c>
      <c r="G558" t="inlineStr">
        <is>
          <t>EDA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21514-2026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46222</v>
      </c>
      <c r="F559" t="inlineStr">
        <is>
          <t>VÄRMLANDS LÄN</t>
        </is>
      </c>
      <c r="G559" t="inlineStr">
        <is>
          <t>EDA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21519-2026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46222</v>
      </c>
      <c r="F560" t="inlineStr">
        <is>
          <t>VÄRMLANDS LÄN</t>
        </is>
      </c>
      <c r="G560" t="inlineStr">
        <is>
          <t>EDA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46090-2021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44442</v>
      </c>
      <c r="E561" s="1" t="n">
        <v>46222</v>
      </c>
      <c r="F561" t="inlineStr">
        <is>
          <t>VÄRMLANDS LÄN</t>
        </is>
      </c>
      <c r="G561" t="inlineStr">
        <is>
          <t>EDA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21315-2026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46222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14972-2023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45015</v>
      </c>
      <c r="E563" s="1" t="n">
        <v>46222</v>
      </c>
      <c r="F563" t="inlineStr">
        <is>
          <t>VÄRMLANDS LÄN</t>
        </is>
      </c>
      <c r="G563" t="inlineStr">
        <is>
          <t>EDA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44694-2022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44840</v>
      </c>
      <c r="E564" s="1" t="n">
        <v>46222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51778-2022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46222</v>
      </c>
      <c r="F565" t="inlineStr">
        <is>
          <t>VÄRMLANDS LÄN</t>
        </is>
      </c>
      <c r="G565" t="inlineStr">
        <is>
          <t>EDA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63040-2023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45272</v>
      </c>
      <c r="E566" s="1" t="n">
        <v>46222</v>
      </c>
      <c r="F566" t="inlineStr">
        <is>
          <t>VÄRMLANDS LÄN</t>
        </is>
      </c>
      <c r="G566" t="inlineStr">
        <is>
          <t>EDA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46222</v>
      </c>
      <c r="F567" t="inlineStr">
        <is>
          <t>VÄRMLANDS LÄN</t>
        </is>
      </c>
      <c r="G567" t="inlineStr">
        <is>
          <t>EDA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25444-2023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45089</v>
      </c>
      <c r="E568" s="1" t="n">
        <v>46222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45310</v>
      </c>
      <c r="E569" s="1" t="n">
        <v>46222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63488-2023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46222</v>
      </c>
      <c r="F570" t="inlineStr">
        <is>
          <t>VÄRMLANDS LÄN</t>
        </is>
      </c>
      <c r="G570" t="inlineStr">
        <is>
          <t>EDA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45293</v>
      </c>
      <c r="E571" s="1" t="n">
        <v>46222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45743</v>
      </c>
      <c r="E572" s="1" t="n">
        <v>46222</v>
      </c>
      <c r="F572" t="inlineStr">
        <is>
          <t>VÄRMLANDS LÄN</t>
        </is>
      </c>
      <c r="G572" t="inlineStr">
        <is>
          <t>EDA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21747-2026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46222</v>
      </c>
      <c r="F573" t="inlineStr">
        <is>
          <t>VÄRMLANDS LÄN</t>
        </is>
      </c>
      <c r="G573" t="inlineStr">
        <is>
          <t>EDA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45090</v>
      </c>
      <c r="E574" s="1" t="n">
        <v>46222</v>
      </c>
      <c r="F574" t="inlineStr">
        <is>
          <t>VÄRMLANDS LÄN</t>
        </is>
      </c>
      <c r="G574" t="inlineStr">
        <is>
          <t>EDA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24540-2024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45460</v>
      </c>
      <c r="E575" s="1" t="n">
        <v>46222</v>
      </c>
      <c r="F575" t="inlineStr">
        <is>
          <t>VÄRMLANDS LÄN</t>
        </is>
      </c>
      <c r="G575" t="inlineStr">
        <is>
          <t>EDA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45747-2024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46222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22183-2026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46222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35306-2022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44798</v>
      </c>
      <c r="E578" s="1" t="n">
        <v>46222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46222</v>
      </c>
      <c r="F579" t="inlineStr">
        <is>
          <t>VÄRMLANDS LÄN</t>
        </is>
      </c>
      <c r="G579" t="inlineStr">
        <is>
          <t>EDA</t>
        </is>
      </c>
      <c r="H579" t="inlineStr">
        <is>
          <t>Bergvik skog väst AB</t>
        </is>
      </c>
      <c r="I579" t="n">
        <v>18.7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19520-2022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44693</v>
      </c>
      <c r="E580" s="1" t="n">
        <v>46222</v>
      </c>
      <c r="F580" t="inlineStr">
        <is>
          <t>VÄRMLANDS LÄN</t>
        </is>
      </c>
      <c r="G580" t="inlineStr">
        <is>
          <t>EDA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46222</v>
      </c>
      <c r="F581" t="inlineStr">
        <is>
          <t>VÄRMLANDS LÄN</t>
        </is>
      </c>
      <c r="G581" t="inlineStr">
        <is>
          <t>EDA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28070-2026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46222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28077-2026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46222</v>
      </c>
      <c r="F583" t="inlineStr">
        <is>
          <t>VÄRMLANDS LÄN</t>
        </is>
      </c>
      <c r="G583" t="inlineStr">
        <is>
          <t>EDA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33847-2024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45520</v>
      </c>
      <c r="E584" s="1" t="n">
        <v>46222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57355-2022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44896</v>
      </c>
      <c r="E585" s="1" t="n">
        <v>46222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65250-2023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45290</v>
      </c>
      <c r="E586" s="1" t="n">
        <v>46222</v>
      </c>
      <c r="F586" t="inlineStr">
        <is>
          <t>VÄRMLANDS LÄN</t>
        </is>
      </c>
      <c r="G586" t="inlineStr">
        <is>
          <t>EDA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65251-2023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45290</v>
      </c>
      <c r="E587" s="1" t="n">
        <v>46222</v>
      </c>
      <c r="F587" t="inlineStr">
        <is>
          <t>VÄRMLANDS LÄN</t>
        </is>
      </c>
      <c r="G587" t="inlineStr">
        <is>
          <t>EDA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12725-2025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46222</v>
      </c>
      <c r="F588" t="inlineStr">
        <is>
          <t>VÄRMLANDS LÄN</t>
        </is>
      </c>
      <c r="G588" t="inlineStr">
        <is>
          <t>EDA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59270-2022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44904</v>
      </c>
      <c r="E589" s="1" t="n">
        <v>46222</v>
      </c>
      <c r="F589" t="inlineStr">
        <is>
          <t>VÄRMLANDS LÄN</t>
        </is>
      </c>
      <c r="G589" t="inlineStr">
        <is>
          <t>EDA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22243-2026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46222</v>
      </c>
      <c r="F590" t="inlineStr">
        <is>
          <t>VÄRMLANDS LÄN</t>
        </is>
      </c>
      <c r="G590" t="inlineStr">
        <is>
          <t>EDA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38505-2024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45546</v>
      </c>
      <c r="E591" s="1" t="n">
        <v>46222</v>
      </c>
      <c r="F591" t="inlineStr">
        <is>
          <t>VÄRMLANDS LÄN</t>
        </is>
      </c>
      <c r="G591" t="inlineStr">
        <is>
          <t>EDA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46222</v>
      </c>
      <c r="F592" t="inlineStr">
        <is>
          <t>VÄRMLANDS LÄN</t>
        </is>
      </c>
      <c r="G592" t="inlineStr">
        <is>
          <t>EDA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46197</v>
      </c>
      <c r="E593" s="1" t="n">
        <v>46222</v>
      </c>
      <c r="F593" t="inlineStr">
        <is>
          <t>VÄRMLANDS LÄN</t>
        </is>
      </c>
      <c r="G593" t="inlineStr">
        <is>
          <t>EDA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28393-2026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46222</v>
      </c>
      <c r="F594" t="inlineStr">
        <is>
          <t>VÄRMLANDS LÄN</t>
        </is>
      </c>
      <c r="G594" t="inlineStr">
        <is>
          <t>EDA</t>
        </is>
      </c>
      <c r="I594" t="n">
        <v>16.9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389-2024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46222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44575</v>
      </c>
      <c r="E596" s="1" t="n">
        <v>46222</v>
      </c>
      <c r="F596" t="inlineStr">
        <is>
          <t>VÄRMLANDS LÄN</t>
        </is>
      </c>
      <c r="G596" t="inlineStr">
        <is>
          <t>EDA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57866-2022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44899</v>
      </c>
      <c r="E597" s="1" t="n">
        <v>46222</v>
      </c>
      <c r="F597" t="inlineStr">
        <is>
          <t>VÄRMLANDS LÄN</t>
        </is>
      </c>
      <c r="G597" t="inlineStr">
        <is>
          <t>EDA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3568-2025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45680</v>
      </c>
      <c r="E598" s="1" t="n">
        <v>46222</v>
      </c>
      <c r="F598" t="inlineStr">
        <is>
          <t>VÄRMLANDS LÄN</t>
        </is>
      </c>
      <c r="G598" t="inlineStr">
        <is>
          <t>EDA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53978-2021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44470</v>
      </c>
      <c r="E599" s="1" t="n">
        <v>46222</v>
      </c>
      <c r="F599" t="inlineStr">
        <is>
          <t>VÄRMLANDS LÄN</t>
        </is>
      </c>
      <c r="G599" t="inlineStr">
        <is>
          <t>EDA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44573</v>
      </c>
      <c r="E600" s="1" t="n">
        <v>46222</v>
      </c>
      <c r="F600" t="inlineStr">
        <is>
          <t>VÄRMLANDS LÄN</t>
        </is>
      </c>
      <c r="G600" t="inlineStr">
        <is>
          <t>EDA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13494-2025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45736</v>
      </c>
      <c r="E601" s="1" t="n">
        <v>46222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6321-2024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45338</v>
      </c>
      <c r="E602" s="1" t="n">
        <v>46222</v>
      </c>
      <c r="F602" t="inlineStr">
        <is>
          <t>VÄRMLANDS LÄN</t>
        </is>
      </c>
      <c r="G602" t="inlineStr">
        <is>
          <t>EDA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12113-2023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44998</v>
      </c>
      <c r="E603" s="1" t="n">
        <v>46222</v>
      </c>
      <c r="F603" t="inlineStr">
        <is>
          <t>VÄRMLANDS LÄN</t>
        </is>
      </c>
      <c r="G603" t="inlineStr">
        <is>
          <t>EDA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55465-2022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46222</v>
      </c>
      <c r="F604" t="inlineStr">
        <is>
          <t>VÄRMLANDS LÄN</t>
        </is>
      </c>
      <c r="G604" t="inlineStr">
        <is>
          <t>EDA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28394-2026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46196</v>
      </c>
      <c r="E605" s="1" t="n">
        <v>46222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55668-2021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44476</v>
      </c>
      <c r="E606" s="1" t="n">
        <v>46222</v>
      </c>
      <c r="F606" t="inlineStr">
        <is>
          <t>VÄRMLANDS LÄN</t>
        </is>
      </c>
      <c r="G606" t="inlineStr">
        <is>
          <t>EDA</t>
        </is>
      </c>
      <c r="H606" t="inlineStr">
        <is>
          <t>Kommuner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34378-2024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45525</v>
      </c>
      <c r="E607" s="1" t="n">
        <v>46222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29020-2026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46222</v>
      </c>
      <c r="F608" t="inlineStr">
        <is>
          <t>VÄRMLANDS LÄN</t>
        </is>
      </c>
      <c r="G608" t="inlineStr">
        <is>
          <t>EDA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61104-2023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45261</v>
      </c>
      <c r="E609" s="1" t="n">
        <v>46222</v>
      </c>
      <c r="F609" t="inlineStr">
        <is>
          <t>VÄRMLANDS LÄN</t>
        </is>
      </c>
      <c r="G609" t="inlineStr">
        <is>
          <t>EDA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28971-2026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46222</v>
      </c>
      <c r="F610" t="inlineStr">
        <is>
          <t>VÄRMLANDS LÄN</t>
        </is>
      </c>
      <c r="G610" t="inlineStr">
        <is>
          <t>EDA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39823-2024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45553</v>
      </c>
      <c r="E611" s="1" t="n">
        <v>46222</v>
      </c>
      <c r="F611" t="inlineStr">
        <is>
          <t>VÄRMLANDS LÄN</t>
        </is>
      </c>
      <c r="G611" t="inlineStr">
        <is>
          <t>EDA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42200-2021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44426</v>
      </c>
      <c r="E612" s="1" t="n">
        <v>46222</v>
      </c>
      <c r="F612" t="inlineStr">
        <is>
          <t>VÄRMLANDS LÄN</t>
        </is>
      </c>
      <c r="G612" t="inlineStr">
        <is>
          <t>EDA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38104-2023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46222</v>
      </c>
      <c r="F613" t="inlineStr">
        <is>
          <t>VÄRMLANDS LÄN</t>
        </is>
      </c>
      <c r="G613" t="inlineStr">
        <is>
          <t>EDA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57311-2022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46222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17799-2022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44683</v>
      </c>
      <c r="E615" s="1" t="n">
        <v>46222</v>
      </c>
      <c r="F615" t="inlineStr">
        <is>
          <t>VÄRMLANDS LÄN</t>
        </is>
      </c>
      <c r="G615" t="inlineStr">
        <is>
          <t>EDA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29013-2026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46222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29029-2026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46222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46737-2022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44851</v>
      </c>
      <c r="E618" s="1" t="n">
        <v>46222</v>
      </c>
      <c r="F618" t="inlineStr">
        <is>
          <t>VÄRMLANDS LÄN</t>
        </is>
      </c>
      <c r="G618" t="inlineStr">
        <is>
          <t>EDA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46222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17135-2024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45412</v>
      </c>
      <c r="E620" s="1" t="n">
        <v>46222</v>
      </c>
      <c r="F620" t="inlineStr">
        <is>
          <t>VÄRMLANDS LÄN</t>
        </is>
      </c>
      <c r="G620" t="inlineStr">
        <is>
          <t>EDA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42229-2025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45904</v>
      </c>
      <c r="E621" s="1" t="n">
        <v>46222</v>
      </c>
      <c r="F621" t="inlineStr">
        <is>
          <t>VÄRMLANDS LÄN</t>
        </is>
      </c>
      <c r="G621" t="inlineStr">
        <is>
          <t>EDA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26824-2023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46222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28968-2026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46222</v>
      </c>
      <c r="F623" t="inlineStr">
        <is>
          <t>VÄRMLANDS LÄN</t>
        </is>
      </c>
      <c r="G623" t="inlineStr">
        <is>
          <t>EDA</t>
        </is>
      </c>
      <c r="I623" t="n">
        <v>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28965-2026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46222</v>
      </c>
      <c r="F624" t="inlineStr">
        <is>
          <t>VÄRMLANDS LÄN</t>
        </is>
      </c>
      <c r="G624" t="inlineStr">
        <is>
          <t>EDA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35315-2022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44798</v>
      </c>
      <c r="E625" s="1" t="n">
        <v>46222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28960-2026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46222</v>
      </c>
      <c r="F626" t="inlineStr">
        <is>
          <t>VÄRMLANDS LÄN</t>
        </is>
      </c>
      <c r="G626" t="inlineStr">
        <is>
          <t>EDA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28934-2026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46222</v>
      </c>
      <c r="F627" t="inlineStr">
        <is>
          <t>VÄRMLANDS LÄN</t>
        </is>
      </c>
      <c r="G627" t="inlineStr">
        <is>
          <t>EDA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45016</v>
      </c>
      <c r="E628" s="1" t="n">
        <v>46222</v>
      </c>
      <c r="F628" t="inlineStr">
        <is>
          <t>VÄRMLANDS LÄN</t>
        </is>
      </c>
      <c r="G628" t="inlineStr">
        <is>
          <t>EDA</t>
        </is>
      </c>
      <c r="H628" t="inlineStr">
        <is>
          <t>Övriga statliga verk och myndigheter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31901-2022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44777</v>
      </c>
      <c r="E629" s="1" t="n">
        <v>46222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53925-2023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45231</v>
      </c>
      <c r="E630" s="1" t="n">
        <v>46222</v>
      </c>
      <c r="F630" t="inlineStr">
        <is>
          <t>VÄRMLANDS LÄN</t>
        </is>
      </c>
      <c r="G630" t="inlineStr">
        <is>
          <t>EDA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64701-2023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45281</v>
      </c>
      <c r="E631" s="1" t="n">
        <v>46222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30895-2024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45498</v>
      </c>
      <c r="E632" s="1" t="n">
        <v>46222</v>
      </c>
      <c r="F632" t="inlineStr">
        <is>
          <t>VÄRMLANDS LÄN</t>
        </is>
      </c>
      <c r="G632" t="inlineStr">
        <is>
          <t>EDA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29380-2026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46222</v>
      </c>
      <c r="F633" t="inlineStr">
        <is>
          <t>VÄRMLANDS LÄN</t>
        </is>
      </c>
      <c r="G633" t="inlineStr">
        <is>
          <t>EDA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31924-2024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45510</v>
      </c>
      <c r="E634" s="1" t="n">
        <v>46222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31939-2024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45510</v>
      </c>
      <c r="E635" s="1" t="n">
        <v>46222</v>
      </c>
      <c r="F635" t="inlineStr">
        <is>
          <t>VÄRMLANDS LÄN</t>
        </is>
      </c>
      <c r="G635" t="inlineStr">
        <is>
          <t>EDA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46222</v>
      </c>
      <c r="F636" t="inlineStr">
        <is>
          <t>VÄRMLANDS LÄN</t>
        </is>
      </c>
      <c r="G636" t="inlineStr">
        <is>
          <t>EDA</t>
        </is>
      </c>
      <c r="H636" t="inlineStr">
        <is>
          <t>Bergvik skog väst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61976-2022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44918</v>
      </c>
      <c r="E637" s="1" t="n">
        <v>46222</v>
      </c>
      <c r="F637" t="inlineStr">
        <is>
          <t>VÄRMLANDS LÄN</t>
        </is>
      </c>
      <c r="G637" t="inlineStr">
        <is>
          <t>EDA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29453-2026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46203</v>
      </c>
      <c r="E638" s="1" t="n">
        <v>46222</v>
      </c>
      <c r="F638" t="inlineStr">
        <is>
          <t>VÄRMLANDS LÄN</t>
        </is>
      </c>
      <c r="G638" t="inlineStr">
        <is>
          <t>EDA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29454-2026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46222</v>
      </c>
      <c r="F639" t="inlineStr">
        <is>
          <t>VÄRMLANDS LÄN</t>
        </is>
      </c>
      <c r="G639" t="inlineStr">
        <is>
          <t>EDA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23436-2026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46222</v>
      </c>
      <c r="F640" t="inlineStr">
        <is>
          <t>VÄRMLANDS LÄN</t>
        </is>
      </c>
      <c r="G640" t="inlineStr">
        <is>
          <t>EDA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46222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44596</v>
      </c>
      <c r="E642" s="1" t="n">
        <v>46222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2389-2025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45674</v>
      </c>
      <c r="E643" s="1" t="n">
        <v>46222</v>
      </c>
      <c r="F643" t="inlineStr">
        <is>
          <t>VÄRMLANDS LÄN</t>
        </is>
      </c>
      <c r="G643" t="inlineStr">
        <is>
          <t>EDA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6803-2022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44602</v>
      </c>
      <c r="E644" s="1" t="n">
        <v>46222</v>
      </c>
      <c r="F644" t="inlineStr">
        <is>
          <t>VÄRMLANDS LÄN</t>
        </is>
      </c>
      <c r="G644" t="inlineStr">
        <is>
          <t>EDA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23444-2026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46222</v>
      </c>
      <c r="F645" t="inlineStr">
        <is>
          <t>VÄRMLANDS LÄN</t>
        </is>
      </c>
      <c r="G645" t="inlineStr">
        <is>
          <t>EDA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8967-2023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44979</v>
      </c>
      <c r="E646" s="1" t="n">
        <v>46222</v>
      </c>
      <c r="F646" t="inlineStr">
        <is>
          <t>VÄRMLANDS LÄN</t>
        </is>
      </c>
      <c r="G646" t="inlineStr">
        <is>
          <t>EDA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23729-2026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46222</v>
      </c>
      <c r="F647" t="inlineStr">
        <is>
          <t>VÄRMLANDS LÄN</t>
        </is>
      </c>
      <c r="G647" t="inlineStr">
        <is>
          <t>EDA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5736-2025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46222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45086-2023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45191</v>
      </c>
      <c r="E649" s="1" t="n">
        <v>46222</v>
      </c>
      <c r="F649" t="inlineStr">
        <is>
          <t>VÄRMLANDS LÄN</t>
        </is>
      </c>
      <c r="G649" t="inlineStr">
        <is>
          <t>EDA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66222-2021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44518</v>
      </c>
      <c r="E650" s="1" t="n">
        <v>46222</v>
      </c>
      <c r="F650" t="inlineStr">
        <is>
          <t>VÄRMLANDS LÄN</t>
        </is>
      </c>
      <c r="G650" t="inlineStr">
        <is>
          <t>EDA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41779-2023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46222</v>
      </c>
      <c r="F651" t="inlineStr">
        <is>
          <t>VÄRMLANDS LÄN</t>
        </is>
      </c>
      <c r="G651" t="inlineStr">
        <is>
          <t>EDA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15778-2023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45021</v>
      </c>
      <c r="E652" s="1" t="n">
        <v>46222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23191-2023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46222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7367-2025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45704</v>
      </c>
      <c r="E654" s="1" t="n">
        <v>46222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53972-2021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44470</v>
      </c>
      <c r="E655" s="1" t="n">
        <v>46222</v>
      </c>
      <c r="F655" t="inlineStr">
        <is>
          <t>VÄRMLANDS LÄN</t>
        </is>
      </c>
      <c r="G655" t="inlineStr">
        <is>
          <t>EDA</t>
        </is>
      </c>
      <c r="I655" t="n">
        <v>10.5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23445-2026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46222</v>
      </c>
      <c r="F656" t="inlineStr">
        <is>
          <t>VÄRMLANDS LÄN</t>
        </is>
      </c>
      <c r="G656" t="inlineStr">
        <is>
          <t>EDA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10918-2024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46222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25803-2023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45090</v>
      </c>
      <c r="E658" s="1" t="n">
        <v>46222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46222</v>
      </c>
      <c r="F659" t="inlineStr">
        <is>
          <t>VÄRMLANDS LÄN</t>
        </is>
      </c>
      <c r="G659" t="inlineStr">
        <is>
          <t>EDA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46222</v>
      </c>
      <c r="F660" t="inlineStr">
        <is>
          <t>VÄRMLANDS LÄN</t>
        </is>
      </c>
      <c r="G660" t="inlineStr">
        <is>
          <t>EDA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64705-2023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45281</v>
      </c>
      <c r="E661" s="1" t="n">
        <v>46222</v>
      </c>
      <c r="F661" t="inlineStr">
        <is>
          <t>VÄRMLANDS LÄN</t>
        </is>
      </c>
      <c r="G661" t="inlineStr">
        <is>
          <t>EDA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64686-2023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46222</v>
      </c>
      <c r="F662" t="inlineStr">
        <is>
          <t>VÄRMLANDS LÄN</t>
        </is>
      </c>
      <c r="G662" t="inlineStr">
        <is>
          <t>EDA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17754-2024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45418</v>
      </c>
      <c r="E663" s="1" t="n">
        <v>46222</v>
      </c>
      <c r="F663" t="inlineStr">
        <is>
          <t>VÄRMLANDS LÄN</t>
        </is>
      </c>
      <c r="G663" t="inlineStr">
        <is>
          <t>EDA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61412-2022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44916</v>
      </c>
      <c r="E664" s="1" t="n">
        <v>46222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44977</v>
      </c>
      <c r="E665" s="1" t="n">
        <v>46222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45621</v>
      </c>
      <c r="E666" s="1" t="n">
        <v>46222</v>
      </c>
      <c r="F666" t="inlineStr">
        <is>
          <t>VÄRMLANDS LÄN</t>
        </is>
      </c>
      <c r="G666" t="inlineStr">
        <is>
          <t>EDA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44937</v>
      </c>
      <c r="E667" s="1" t="n">
        <v>46222</v>
      </c>
      <c r="F667" t="inlineStr">
        <is>
          <t>VÄRMLANDS LÄN</t>
        </is>
      </c>
      <c r="G667" t="inlineStr">
        <is>
          <t>EDA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23834-2026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46222</v>
      </c>
      <c r="F668" t="inlineStr">
        <is>
          <t>VÄRMLANDS LÄN</t>
        </is>
      </c>
      <c r="G668" t="inlineStr">
        <is>
          <t>EDA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23850-2026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46167</v>
      </c>
      <c r="E669" s="1" t="n">
        <v>46222</v>
      </c>
      <c r="F669" t="inlineStr">
        <is>
          <t>VÄRMLANDS LÄN</t>
        </is>
      </c>
      <c r="G669" t="inlineStr">
        <is>
          <t>EDA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19685-2024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46222</v>
      </c>
      <c r="F670" t="inlineStr">
        <is>
          <t>VÄRMLANDS LÄN</t>
        </is>
      </c>
      <c r="G670" t="inlineStr">
        <is>
          <t>EDA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20920-2023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45061</v>
      </c>
      <c r="E671" s="1" t="n">
        <v>46222</v>
      </c>
      <c r="F671" t="inlineStr">
        <is>
          <t>VÄRMLANDS LÄN</t>
        </is>
      </c>
      <c r="G671" t="inlineStr">
        <is>
          <t>EDA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38616-2023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45162</v>
      </c>
      <c r="E672" s="1" t="n">
        <v>46222</v>
      </c>
      <c r="F672" t="inlineStr">
        <is>
          <t>VÄRMLANDS LÄN</t>
        </is>
      </c>
      <c r="G672" t="inlineStr">
        <is>
          <t>EDA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34431-2023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45139</v>
      </c>
      <c r="E673" s="1" t="n">
        <v>46222</v>
      </c>
      <c r="F673" t="inlineStr">
        <is>
          <t>VÄRMLANDS LÄN</t>
        </is>
      </c>
      <c r="G673" t="inlineStr">
        <is>
          <t>EDA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6504-2023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44966</v>
      </c>
      <c r="E674" s="1" t="n">
        <v>46222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17246-2025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45756</v>
      </c>
      <c r="E675" s="1" t="n">
        <v>46222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26818-2023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46222</v>
      </c>
      <c r="F676" t="inlineStr">
        <is>
          <t>VÄRMLANDS LÄN</t>
        </is>
      </c>
      <c r="G676" t="inlineStr">
        <is>
          <t>EDA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38108-2023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45161</v>
      </c>
      <c r="E677" s="1" t="n">
        <v>46222</v>
      </c>
      <c r="F677" t="inlineStr">
        <is>
          <t>VÄRMLANDS LÄN</t>
        </is>
      </c>
      <c r="G677" t="inlineStr">
        <is>
          <t>EDA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33842-2024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46222</v>
      </c>
      <c r="F678" t="inlineStr">
        <is>
          <t>VÄRMLANDS LÄN</t>
        </is>
      </c>
      <c r="G678" t="inlineStr">
        <is>
          <t>EDA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12087-2022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44636</v>
      </c>
      <c r="E679" s="1" t="n">
        <v>46222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47619-2023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45203</v>
      </c>
      <c r="E680" s="1" t="n">
        <v>46222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57257-2024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46222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45308</v>
      </c>
      <c r="E682" s="1" t="n">
        <v>46222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29230-2023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45105</v>
      </c>
      <c r="E683" s="1" t="n">
        <v>46222</v>
      </c>
      <c r="F683" t="inlineStr">
        <is>
          <t>VÄRMLANDS LÄN</t>
        </is>
      </c>
      <c r="G683" t="inlineStr">
        <is>
          <t>EDA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46222</v>
      </c>
      <c r="F684" t="inlineStr">
        <is>
          <t>VÄRMLANDS LÄN</t>
        </is>
      </c>
      <c r="G684" t="inlineStr">
        <is>
          <t>EDA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11652-2025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46222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31678-2022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44776</v>
      </c>
      <c r="E686" s="1" t="n">
        <v>46222</v>
      </c>
      <c r="F686" t="inlineStr">
        <is>
          <t>VÄRMLANDS LÄN</t>
        </is>
      </c>
      <c r="G686" t="inlineStr">
        <is>
          <t>EDA</t>
        </is>
      </c>
      <c r="H686" t="inlineStr">
        <is>
          <t>Kommuner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46222</v>
      </c>
      <c r="F687" t="inlineStr">
        <is>
          <t>VÄRMLANDS LÄN</t>
        </is>
      </c>
      <c r="G687" t="inlineStr">
        <is>
          <t>EDA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12118-2023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44998</v>
      </c>
      <c r="E688" s="1" t="n">
        <v>46222</v>
      </c>
      <c r="F688" t="inlineStr">
        <is>
          <t>VÄRMLANDS LÄN</t>
        </is>
      </c>
      <c r="G688" t="inlineStr">
        <is>
          <t>EDA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5432-2025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45692</v>
      </c>
      <c r="E689" s="1" t="n">
        <v>46222</v>
      </c>
      <c r="F689" t="inlineStr">
        <is>
          <t>VÄRMLANDS LÄN</t>
        </is>
      </c>
      <c r="G689" t="inlineStr">
        <is>
          <t>EDA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31245-2026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46222</v>
      </c>
      <c r="F690" t="inlineStr">
        <is>
          <t>VÄRMLANDS LÄN</t>
        </is>
      </c>
      <c r="G690" t="inlineStr">
        <is>
          <t>EDA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31246-2026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46222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45161</v>
      </c>
      <c r="E692" s="1" t="n">
        <v>46222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49229-2023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46222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45307</v>
      </c>
      <c r="E694" s="1" t="n">
        <v>46222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31244-2026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46217</v>
      </c>
      <c r="E695" s="1" t="n">
        <v>46222</v>
      </c>
      <c r="F695" t="inlineStr">
        <is>
          <t>VÄRMLANDS LÄN</t>
        </is>
      </c>
      <c r="G695" t="inlineStr">
        <is>
          <t>EDA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25292-2026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46222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14795-2024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45397</v>
      </c>
      <c r="E697" s="1" t="n">
        <v>46222</v>
      </c>
      <c r="F697" t="inlineStr">
        <is>
          <t>VÄRMLANDS LÄN</t>
        </is>
      </c>
      <c r="G697" t="inlineStr">
        <is>
          <t>EDA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43522-2023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46222</v>
      </c>
      <c r="F698" t="inlineStr">
        <is>
          <t>VÄRMLANDS LÄN</t>
        </is>
      </c>
      <c r="G698" t="inlineStr">
        <is>
          <t>EDA</t>
        </is>
      </c>
      <c r="I698" t="n">
        <v>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43524-2023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45184</v>
      </c>
      <c r="E699" s="1" t="n">
        <v>46222</v>
      </c>
      <c r="F699" t="inlineStr">
        <is>
          <t>VÄRMLANDS LÄN</t>
        </is>
      </c>
      <c r="G699" t="inlineStr">
        <is>
          <t>EDA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63272-2023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45273</v>
      </c>
      <c r="E700" s="1" t="n">
        <v>46222</v>
      </c>
      <c r="F700" t="inlineStr">
        <is>
          <t>VÄRMLANDS LÄN</t>
        </is>
      </c>
      <c r="G700" t="inlineStr">
        <is>
          <t>EDA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53965-2024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45616</v>
      </c>
      <c r="E701" s="1" t="n">
        <v>46222</v>
      </c>
      <c r="F701" t="inlineStr">
        <is>
          <t>VÄRMLANDS LÄN</t>
        </is>
      </c>
      <c r="G701" t="inlineStr">
        <is>
          <t>EDA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46222</v>
      </c>
      <c r="F702" t="inlineStr">
        <is>
          <t>VÄRMLANDS LÄN</t>
        </is>
      </c>
      <c r="G702" t="inlineStr">
        <is>
          <t>EDA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14090-2024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46222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46222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998-2023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46222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46222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50831-2022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46222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36157-2023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45149</v>
      </c>
      <c r="E708" s="1" t="n">
        <v>46222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25448-2026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46222</v>
      </c>
      <c r="F709" t="inlineStr">
        <is>
          <t>VÄRMLANDS LÄN</t>
        </is>
      </c>
      <c r="G709" t="inlineStr">
        <is>
          <t>EDA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46222</v>
      </c>
      <c r="F710" t="inlineStr">
        <is>
          <t>VÄRMLANDS LÄN</t>
        </is>
      </c>
      <c r="G710" t="inlineStr">
        <is>
          <t>EDA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12281-2025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46222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29122-2024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45482</v>
      </c>
      <c r="E712" s="1" t="n">
        <v>46222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46222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17262-2025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46222</v>
      </c>
      <c r="F714" t="inlineStr">
        <is>
          <t>VÄRMLANDS LÄN</t>
        </is>
      </c>
      <c r="G714" t="inlineStr">
        <is>
          <t>EDA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45676</v>
      </c>
      <c r="E715" s="1" t="n">
        <v>46222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36298-2023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45152</v>
      </c>
      <c r="E716" s="1" t="n">
        <v>46222</v>
      </c>
      <c r="F716" t="inlineStr">
        <is>
          <t>VÄRMLANDS LÄN</t>
        </is>
      </c>
      <c r="G716" t="inlineStr">
        <is>
          <t>EDA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61952-2022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44918</v>
      </c>
      <c r="E717" s="1" t="n">
        <v>46222</v>
      </c>
      <c r="F717" t="inlineStr">
        <is>
          <t>VÄRMLANDS LÄN</t>
        </is>
      </c>
      <c r="G717" t="inlineStr">
        <is>
          <t>EDA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46222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46222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52823-2023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45226</v>
      </c>
      <c r="E720" s="1" t="n">
        <v>46222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5735-2025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45694</v>
      </c>
      <c r="E721" s="1" t="n">
        <v>46222</v>
      </c>
      <c r="F721" t="inlineStr">
        <is>
          <t>VÄRMLANDS LÄN</t>
        </is>
      </c>
      <c r="G721" t="inlineStr">
        <is>
          <t>EDA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57136-2023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46222</v>
      </c>
      <c r="F722" t="inlineStr">
        <is>
          <t>VÄRMLANDS LÄN</t>
        </is>
      </c>
      <c r="G722" t="inlineStr">
        <is>
          <t>EDA</t>
        </is>
      </c>
      <c r="H722" t="inlineStr">
        <is>
          <t>Övriga Aktiebolag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12286-2025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45729</v>
      </c>
      <c r="E723" s="1" t="n">
        <v>46222</v>
      </c>
      <c r="F723" t="inlineStr">
        <is>
          <t>VÄRMLANDS LÄN</t>
        </is>
      </c>
      <c r="G723" t="inlineStr">
        <is>
          <t>EDA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46222</v>
      </c>
      <c r="F724" t="inlineStr">
        <is>
          <t>VÄRMLANDS LÄN</t>
        </is>
      </c>
      <c r="G724" t="inlineStr">
        <is>
          <t>EDA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3975-2025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45684</v>
      </c>
      <c r="E725" s="1" t="n">
        <v>46222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34393-2024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46222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55810-2024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45623</v>
      </c>
      <c r="E727" s="1" t="n">
        <v>46222</v>
      </c>
      <c r="F727" t="inlineStr">
        <is>
          <t>VÄRMLANDS LÄN</t>
        </is>
      </c>
      <c r="G727" t="inlineStr">
        <is>
          <t>EDA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5431-2025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45692</v>
      </c>
      <c r="E728" s="1" t="n">
        <v>46222</v>
      </c>
      <c r="F728" t="inlineStr">
        <is>
          <t>VÄRMLANDS LÄN</t>
        </is>
      </c>
      <c r="G728" t="inlineStr">
        <is>
          <t>EDA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16486-2024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45408</v>
      </c>
      <c r="E729" s="1" t="n">
        <v>46222</v>
      </c>
      <c r="F729" t="inlineStr">
        <is>
          <t>VÄRMLANDS LÄN</t>
        </is>
      </c>
      <c r="G729" t="inlineStr">
        <is>
          <t>EDA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44674-2023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46222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70571-2021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44537</v>
      </c>
      <c r="E731" s="1" t="n">
        <v>46222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46222</v>
      </c>
      <c r="F732" t="inlineStr">
        <is>
          <t>VÄRMLANDS LÄN</t>
        </is>
      </c>
      <c r="G732" t="inlineStr">
        <is>
          <t>EDA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20601-2025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46222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21066-2025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46222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46222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43200-2024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46222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12406-2025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45730</v>
      </c>
      <c r="E737" s="1" t="n">
        <v>46222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42197-2021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44426</v>
      </c>
      <c r="E738" s="1" t="n">
        <v>46222</v>
      </c>
      <c r="F738" t="inlineStr">
        <is>
          <t>VÄRMLANDS LÄN</t>
        </is>
      </c>
      <c r="G738" t="inlineStr">
        <is>
          <t>EDA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46222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46222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46222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46222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25728-2025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45803</v>
      </c>
      <c r="E743" s="1" t="n">
        <v>46222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46222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46222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46222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46222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46222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2026-07-19T01:35:14Z</dcterms:created>
  <dcterms:modified xmlns:dcterms="http://purl.org/dc/terms/" xmlns:xsi="http://www.w3.org/2001/XMLSchema-instance" xsi:type="dcterms:W3CDTF">2026-07-19T01:35:15Z</dcterms:modified>
</cp:coreProperties>
</file>