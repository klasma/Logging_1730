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42165-2023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45178</v>
      </c>
      <c r="E2" s="1" t="n">
        <v>46320</v>
      </c>
      <c r="F2" t="inlineStr">
        <is>
          <t>VÄRMLANDS LÄN</t>
        </is>
      </c>
      <c r="G2" t="inlineStr">
        <is>
          <t>EDA</t>
        </is>
      </c>
      <c r="I2" t="n">
        <v>15.6</v>
      </c>
      <c r="J2" t="n">
        <v>2</v>
      </c>
      <c r="K2" t="n">
        <v>11</v>
      </c>
      <c r="L2" t="n">
        <v>3</v>
      </c>
      <c r="M2" t="n">
        <v>1</v>
      </c>
      <c r="N2" t="n">
        <v>0</v>
      </c>
      <c r="O2" t="n">
        <v>0</v>
      </c>
      <c r="P2" t="n">
        <v>0</v>
      </c>
      <c r="Q2" t="n">
        <v>4</v>
      </c>
      <c r="R2" t="n">
        <v>1</v>
      </c>
      <c r="S2" t="n">
        <v>16</v>
      </c>
      <c r="T2" t="n">
        <v>26</v>
      </c>
      <c r="U2" t="n">
        <v>26</v>
      </c>
      <c r="V2" s="2" t="inlineStr">
        <is>
          <t>Garnlav
Kattfotslav
Tretåig hackspett
Vedtrappmossa
Aspvedgnagare
Blek stjärnmossa
Blåsfliksmossa
Klippfrullania
Korallblylav
Mörk husmossa
Skogshakmossa
Stor revmossa
Thomsons trägnagare
Vedticka
Vågbandad barkbock
Blåsippa</t>
        </is>
      </c>
      <c r="W2">
        <f>HYPERLINK("https://klasma.github.io/Logging_1730/artfynd/A 42165-2023 artfynd.xlsx", "A 42165-2023")</f>
        <v/>
      </c>
      <c r="X2">
        <f>HYPERLINK("https://klasma.github.io/Logging_1730/kartor/A 42165-2023 karta.png", "A 42165-2023")</f>
        <v/>
      </c>
      <c r="Y2">
        <f>HYPERLINK("https://klasma.github.io/Logging_1730/kartor_geotiff/A 42165-2023 georefererad karta.tif", "A 42165-2023")</f>
        <v/>
      </c>
      <c r="AA2">
        <f>HYPERLINK("https://klasma.github.io/Logging_1730/klagomål/A 42165-2023 FSC-klagomål.docx", "A 42165-2023")</f>
        <v/>
      </c>
      <c r="AB2">
        <f>HYPERLINK("https://klasma.github.io/Logging_1730/klagomålsmail/A 42165-2023 FSC-klagomål mail.docx", "A 42165-2023")</f>
        <v/>
      </c>
      <c r="AC2">
        <f>HYPERLINK("https://klasma.github.io/Logging_1730/tillsyn/A 42165-2023 tillsynsbegäran.docx", "A 42165-2023")</f>
        <v/>
      </c>
      <c r="AD2">
        <f>HYPERLINK("https://klasma.github.io/Logging_1730/tillsynsmail/A 42165-2023 tillsynsbegäran mail.docx", "A 42165-2023")</f>
        <v/>
      </c>
      <c r="AE2">
        <f>HYPERLINK("https://klasma.github.io/Logging_1730/fåglar/A 42165-2023 prioriterade fågelarter.docx", "A 42165-2023")</f>
        <v/>
      </c>
    </row>
    <row r="3" ht="15" customHeight="1">
      <c r="A3" t="inlineStr">
        <is>
          <t>A 11330-2025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45726</v>
      </c>
      <c r="E3" s="1" t="n">
        <v>46320</v>
      </c>
      <c r="F3" t="inlineStr">
        <is>
          <t>VÄRMLANDS LÄN</t>
        </is>
      </c>
      <c r="G3" t="inlineStr">
        <is>
          <t>EDA</t>
        </is>
      </c>
      <c r="I3" t="n">
        <v>1.1</v>
      </c>
      <c r="J3" t="n">
        <v>10</v>
      </c>
      <c r="K3" t="n">
        <v>0</v>
      </c>
      <c r="L3" t="n">
        <v>5</v>
      </c>
      <c r="M3" t="n">
        <v>0</v>
      </c>
      <c r="N3" t="n">
        <v>0</v>
      </c>
      <c r="O3" t="n">
        <v>0</v>
      </c>
      <c r="P3" t="n">
        <v>0</v>
      </c>
      <c r="Q3" t="n">
        <v>5</v>
      </c>
      <c r="R3" t="n">
        <v>0</v>
      </c>
      <c r="S3" t="n">
        <v>10</v>
      </c>
      <c r="T3" t="n">
        <v>10</v>
      </c>
      <c r="U3" t="n">
        <v>10</v>
      </c>
      <c r="V3" s="2" t="inlineStr">
        <is>
          <t>Drillsnäppa
Entita
Gulsparv
Järnsparv
Ladusvala
Bergfink
Spillkråka
Buskskvätta
Röd glada
Trana</t>
        </is>
      </c>
      <c r="W3">
        <f>HYPERLINK("https://klasma.github.io/Logging_1730/artfynd/A 11330-2025 artfynd.xlsx", "A 11330-2025")</f>
        <v/>
      </c>
      <c r="X3">
        <f>HYPERLINK("https://klasma.github.io/Logging_1730/kartor/A 11330-2025 karta.png", "A 11330-2025")</f>
        <v/>
      </c>
      <c r="Y3">
        <f>HYPERLINK("https://klasma.github.io/Logging_1730/kartor_geotiff/A 11330-2025 georefererad karta.tif", "A 11330-2025")</f>
        <v/>
      </c>
      <c r="AA3">
        <f>HYPERLINK("https://klasma.github.io/Logging_1730/klagomål/A 11330-2025 FSC-klagomål.docx", "A 11330-2025")</f>
        <v/>
      </c>
      <c r="AB3">
        <f>HYPERLINK("https://klasma.github.io/Logging_1730/klagomålsmail/A 11330-2025 FSC-klagomål mail.docx", "A 11330-2025")</f>
        <v/>
      </c>
      <c r="AC3">
        <f>HYPERLINK("https://klasma.github.io/Logging_1730/tillsyn/A 11330-2025 tillsynsbegäran.docx", "A 11330-2025")</f>
        <v/>
      </c>
      <c r="AD3">
        <f>HYPERLINK("https://klasma.github.io/Logging_1730/tillsynsmail/A 11330-2025 tillsynsbegäran mail.docx", "A 11330-2025")</f>
        <v/>
      </c>
      <c r="AE3">
        <f>HYPERLINK("https://klasma.github.io/Logging_1730/fåglar/A 11330-2025 prioriterade fågelarter.docx", "A 11330-2025")</f>
        <v/>
      </c>
    </row>
    <row r="4" ht="15" customHeight="1">
      <c r="A4" t="inlineStr">
        <is>
          <t>A 59864-2021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44494</v>
      </c>
      <c r="E4" s="1" t="n">
        <v>46320</v>
      </c>
      <c r="F4" t="inlineStr">
        <is>
          <t>VÄRMLANDS LÄN</t>
        </is>
      </c>
      <c r="G4" t="inlineStr">
        <is>
          <t>EDA</t>
        </is>
      </c>
      <c r="I4" t="n">
        <v>4.5</v>
      </c>
      <c r="J4" t="n">
        <v>0</v>
      </c>
      <c r="K4" t="n">
        <v>5</v>
      </c>
      <c r="L4" t="n">
        <v>3</v>
      </c>
      <c r="M4" t="n">
        <v>0</v>
      </c>
      <c r="N4" t="n">
        <v>0</v>
      </c>
      <c r="O4" t="n">
        <v>0</v>
      </c>
      <c r="P4" t="n">
        <v>0</v>
      </c>
      <c r="Q4" t="n">
        <v>3</v>
      </c>
      <c r="R4" t="n">
        <v>0</v>
      </c>
      <c r="S4" t="n">
        <v>8</v>
      </c>
      <c r="T4" t="n">
        <v>10</v>
      </c>
      <c r="U4" t="n">
        <v>10</v>
      </c>
      <c r="V4" s="2" t="inlineStr">
        <is>
          <t>Kådvaxskinn
Lunglav
Rundfjädermossa
Blek stjärnmossa
Blåsfliksmossa
Grov fjädermossa
Platt fjädermossa
Vedticka</t>
        </is>
      </c>
      <c r="W4">
        <f>HYPERLINK("https://klasma.github.io/Logging_1730/artfynd/A 59864-2021 artfynd.xlsx", "A 59864-2021")</f>
        <v/>
      </c>
      <c r="X4">
        <f>HYPERLINK("https://klasma.github.io/Logging_1730/kartor/A 59864-2021 karta.png", "A 59864-2021")</f>
        <v/>
      </c>
      <c r="Y4">
        <f>HYPERLINK("https://klasma.github.io/Logging_1730/kartor_geotiff/A 59864-2021 georefererad karta.tif", "A 59864-2021")</f>
        <v/>
      </c>
      <c r="AA4">
        <f>HYPERLINK("https://klasma.github.io/Logging_1730/klagomål/A 59864-2021 FSC-klagomål.docx", "A 59864-2021")</f>
        <v/>
      </c>
      <c r="AB4">
        <f>HYPERLINK("https://klasma.github.io/Logging_1730/klagomålsmail/A 59864-2021 FSC-klagomål mail.docx", "A 59864-2021")</f>
        <v/>
      </c>
      <c r="AC4">
        <f>HYPERLINK("https://klasma.github.io/Logging_1730/tillsyn/A 59864-2021 tillsynsbegäran.docx", "A 59864-2021")</f>
        <v/>
      </c>
      <c r="AD4">
        <f>HYPERLINK("https://klasma.github.io/Logging_1730/tillsynsmail/A 59864-2021 tillsynsbegäran mail.docx", "A 59864-2021")</f>
        <v/>
      </c>
    </row>
    <row r="5" ht="15" customHeight="1">
      <c r="A5" t="inlineStr">
        <is>
          <t>A 25800-2023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45090</v>
      </c>
      <c r="E5" s="1" t="n">
        <v>46320</v>
      </c>
      <c r="F5" t="inlineStr">
        <is>
          <t>VÄRMLANDS LÄN</t>
        </is>
      </c>
      <c r="G5" t="inlineStr">
        <is>
          <t>EDA</t>
        </is>
      </c>
      <c r="I5" t="n">
        <v>6.2</v>
      </c>
      <c r="J5" t="n">
        <v>3</v>
      </c>
      <c r="K5" t="n">
        <v>2</v>
      </c>
      <c r="L5" t="n">
        <v>2</v>
      </c>
      <c r="M5" t="n">
        <v>1</v>
      </c>
      <c r="N5" t="n">
        <v>0</v>
      </c>
      <c r="O5" t="n">
        <v>0</v>
      </c>
      <c r="P5" t="n">
        <v>0</v>
      </c>
      <c r="Q5" t="n">
        <v>3</v>
      </c>
      <c r="R5" t="n">
        <v>1</v>
      </c>
      <c r="S5" t="n">
        <v>7</v>
      </c>
      <c r="T5" t="n">
        <v>7</v>
      </c>
      <c r="U5" t="n">
        <v>7</v>
      </c>
      <c r="V5" s="2" t="inlineStr">
        <is>
          <t>Garnlav
Talltita
Vedskivlav
Bronshjon
Vågbandad barkbock
Fläcknycklar
Revlummer</t>
        </is>
      </c>
      <c r="W5">
        <f>HYPERLINK("https://klasma.github.io/Logging_1730/artfynd/A 25800-2023 artfynd.xlsx", "A 25800-2023")</f>
        <v/>
      </c>
      <c r="X5">
        <f>HYPERLINK("https://klasma.github.io/Logging_1730/kartor/A 25800-2023 karta.png", "A 25800-2023")</f>
        <v/>
      </c>
      <c r="Y5">
        <f>HYPERLINK("https://klasma.github.io/Logging_1730/kartor_geotiff/A 25800-2023 georefererad karta.tif", "A 25800-2023")</f>
        <v/>
      </c>
      <c r="AA5">
        <f>HYPERLINK("https://klasma.github.io/Logging_1730/klagomål/A 25800-2023 FSC-klagomål.docx", "A 25800-2023")</f>
        <v/>
      </c>
      <c r="AB5">
        <f>HYPERLINK("https://klasma.github.io/Logging_1730/klagomålsmail/A 25800-2023 FSC-klagomål mail.docx", "A 25800-2023")</f>
        <v/>
      </c>
      <c r="AC5">
        <f>HYPERLINK("https://klasma.github.io/Logging_1730/tillsyn/A 25800-2023 tillsynsbegäran.docx", "A 25800-2023")</f>
        <v/>
      </c>
      <c r="AD5">
        <f>HYPERLINK("https://klasma.github.io/Logging_1730/tillsynsmail/A 25800-2023 tillsynsbegäran mail.docx", "A 25800-2023")</f>
        <v/>
      </c>
      <c r="AE5">
        <f>HYPERLINK("https://klasma.github.io/Logging_1730/fåglar/A 25800-2023 prioriterade fågelarter.docx", "A 25800-2023")</f>
        <v/>
      </c>
    </row>
    <row r="6" ht="15" customHeight="1">
      <c r="A6" t="inlineStr">
        <is>
          <t>A 36789-2023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45154</v>
      </c>
      <c r="E6" s="1" t="n">
        <v>46320</v>
      </c>
      <c r="F6" t="inlineStr">
        <is>
          <t>VÄRMLANDS LÄN</t>
        </is>
      </c>
      <c r="G6" t="inlineStr">
        <is>
          <t>EDA</t>
        </is>
      </c>
      <c r="I6" t="n">
        <v>1.1</v>
      </c>
      <c r="J6" t="n">
        <v>2</v>
      </c>
      <c r="K6" t="n">
        <v>1</v>
      </c>
      <c r="L6" t="n">
        <v>2</v>
      </c>
      <c r="M6" t="n">
        <v>1</v>
      </c>
      <c r="N6" t="n">
        <v>0</v>
      </c>
      <c r="O6" t="n">
        <v>0</v>
      </c>
      <c r="P6" t="n">
        <v>0</v>
      </c>
      <c r="Q6" t="n">
        <v>3</v>
      </c>
      <c r="R6" t="n">
        <v>1</v>
      </c>
      <c r="S6" t="n">
        <v>6</v>
      </c>
      <c r="T6" t="n">
        <v>6</v>
      </c>
      <c r="U6" t="n">
        <v>0</v>
      </c>
      <c r="V6" s="2" t="inlineStr">
        <is>
          <t>Mindre bastardsvärmare
Älg
Ängsmetallvinge
Större träfjäril
Buskskvätta
Grönsiska</t>
        </is>
      </c>
      <c r="W6">
        <f>HYPERLINK("https://klasma.github.io/Logging_1730/artfynd/A 36789-2023 artfynd.xlsx", "A 36789-2023")</f>
        <v/>
      </c>
      <c r="X6">
        <f>HYPERLINK("https://klasma.github.io/Logging_1730/kartor/A 36789-2023 karta.png", "A 36789-2023")</f>
        <v/>
      </c>
      <c r="Y6">
        <f>HYPERLINK("https://klasma.github.io/Logging_1730/kartor_geotiff/A 36789-2023 georefererad karta.tif", "A 36789-2023")</f>
        <v/>
      </c>
      <c r="AA6">
        <f>HYPERLINK("https://klasma.github.io/Logging_1730/klagomål/A 36789-2023 FSC-klagomål.docx", "A 36789-2023")</f>
        <v/>
      </c>
      <c r="AB6">
        <f>HYPERLINK("https://klasma.github.io/Logging_1730/klagomålsmail/A 36789-2023 FSC-klagomål mail.docx", "A 36789-2023")</f>
        <v/>
      </c>
      <c r="AC6">
        <f>HYPERLINK("https://klasma.github.io/Logging_1730/tillsyn/A 36789-2023 tillsynsbegäran.docx", "A 36789-2023")</f>
        <v/>
      </c>
      <c r="AD6">
        <f>HYPERLINK("https://klasma.github.io/Logging_1730/tillsynsmail/A 36789-2023 tillsynsbegäran mail.docx", "A 36789-2023")</f>
        <v/>
      </c>
    </row>
    <row r="7" ht="15" customHeight="1">
      <c r="A7" t="inlineStr">
        <is>
          <t>A 1501-2024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45306</v>
      </c>
      <c r="E7" s="1" t="n">
        <v>46320</v>
      </c>
      <c r="F7" t="inlineStr">
        <is>
          <t>VÄRMLANDS LÄN</t>
        </is>
      </c>
      <c r="G7" t="inlineStr">
        <is>
          <t>EDA</t>
        </is>
      </c>
      <c r="I7" t="n">
        <v>2.7</v>
      </c>
      <c r="J7" t="n">
        <v>4</v>
      </c>
      <c r="K7" t="n">
        <v>0</v>
      </c>
      <c r="L7" t="n">
        <v>3</v>
      </c>
      <c r="M7" t="n">
        <v>1</v>
      </c>
      <c r="N7" t="n">
        <v>0</v>
      </c>
      <c r="O7" t="n">
        <v>0</v>
      </c>
      <c r="P7" t="n">
        <v>0</v>
      </c>
      <c r="Q7" t="n">
        <v>4</v>
      </c>
      <c r="R7" t="n">
        <v>1</v>
      </c>
      <c r="S7" t="n">
        <v>6</v>
      </c>
      <c r="T7" t="n">
        <v>10</v>
      </c>
      <c r="U7" t="n">
        <v>10</v>
      </c>
      <c r="V7" s="2" t="inlineStr">
        <is>
          <t>Knärot
Kattfotslav
Talltita
Ullticka
Spillkråka
Revlummer</t>
        </is>
      </c>
      <c r="W7">
        <f>HYPERLINK("https://klasma.github.io/Logging_1730/artfynd/A 1501-2024 artfynd.xlsx", "A 1501-2024")</f>
        <v/>
      </c>
      <c r="X7">
        <f>HYPERLINK("https://klasma.github.io/Logging_1730/kartor/A 1501-2024 karta.png", "A 1501-2024")</f>
        <v/>
      </c>
      <c r="Y7">
        <f>HYPERLINK("https://klasma.github.io/Logging_1730/kartor_geotiff/A 1501-2024 georefererad karta.tif", "A 1501-2024")</f>
        <v/>
      </c>
      <c r="Z7">
        <f>HYPERLINK("https://klasma.github.io/Logging_1730/knärot/A 1501-2024 karta knärot.png", "A 1501-2024")</f>
        <v/>
      </c>
      <c r="AA7">
        <f>HYPERLINK("https://klasma.github.io/Logging_1730/klagomål/A 1501-2024 FSC-klagomål.docx", "A 1501-2024")</f>
        <v/>
      </c>
      <c r="AB7">
        <f>HYPERLINK("https://klasma.github.io/Logging_1730/klagomålsmail/A 1501-2024 FSC-klagomål mail.docx", "A 1501-2024")</f>
        <v/>
      </c>
      <c r="AC7">
        <f>HYPERLINK("https://klasma.github.io/Logging_1730/tillsyn/A 1501-2024 tillsynsbegäran.docx", "A 1501-2024")</f>
        <v/>
      </c>
      <c r="AD7">
        <f>HYPERLINK("https://klasma.github.io/Logging_1730/tillsynsmail/A 1501-2024 tillsynsbegäran mail.docx", "A 1501-2024")</f>
        <v/>
      </c>
      <c r="AE7">
        <f>HYPERLINK("https://klasma.github.io/Logging_1730/fåglar/A 1501-2024 prioriterade fågelarter.docx", "A 1501-2024")</f>
        <v/>
      </c>
    </row>
    <row r="8" ht="15" customHeight="1">
      <c r="A8" t="inlineStr">
        <is>
          <t>A 34087-2022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44791</v>
      </c>
      <c r="E8" s="1" t="n">
        <v>46320</v>
      </c>
      <c r="F8" t="inlineStr">
        <is>
          <t>VÄRMLANDS LÄN</t>
        </is>
      </c>
      <c r="G8" t="inlineStr">
        <is>
          <t>EDA</t>
        </is>
      </c>
      <c r="I8" t="n">
        <v>6.7</v>
      </c>
      <c r="J8" t="n">
        <v>0</v>
      </c>
      <c r="K8" t="n">
        <v>2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2</v>
      </c>
      <c r="R8" t="n">
        <v>1</v>
      </c>
      <c r="S8" t="n">
        <v>4</v>
      </c>
      <c r="T8" t="n">
        <v>5</v>
      </c>
      <c r="U8" t="n">
        <v>5</v>
      </c>
      <c r="V8" s="2" t="inlineStr">
        <is>
          <t>Garnlav
Dropptaggsvamp
Bårdlav
Stuplav</t>
        </is>
      </c>
      <c r="W8">
        <f>HYPERLINK("https://klasma.github.io/Logging_1730/artfynd/A 34087-2022 artfynd.xlsx", "A 34087-2022")</f>
        <v/>
      </c>
      <c r="X8">
        <f>HYPERLINK("https://klasma.github.io/Logging_1730/kartor/A 34087-2022 karta.png", "A 34087-2022")</f>
        <v/>
      </c>
      <c r="Y8">
        <f>HYPERLINK("https://klasma.github.io/Logging_1730/kartor_geotiff/A 34087-2022 georefererad karta.tif", "A 34087-2022")</f>
        <v/>
      </c>
      <c r="AA8">
        <f>HYPERLINK("https://klasma.github.io/Logging_1730/klagomål/A 34087-2022 FSC-klagomål.docx", "A 34087-2022")</f>
        <v/>
      </c>
      <c r="AB8">
        <f>HYPERLINK("https://klasma.github.io/Logging_1730/klagomålsmail/A 34087-2022 FSC-klagomål mail.docx", "A 34087-2022")</f>
        <v/>
      </c>
      <c r="AC8">
        <f>HYPERLINK("https://klasma.github.io/Logging_1730/tillsyn/A 34087-2022 tillsynsbegäran.docx", "A 34087-2022")</f>
        <v/>
      </c>
      <c r="AD8">
        <f>HYPERLINK("https://klasma.github.io/Logging_1730/tillsynsmail/A 34087-2022 tillsynsbegäran mail.docx", "A 34087-2022")</f>
        <v/>
      </c>
    </row>
    <row r="9" ht="15" customHeight="1">
      <c r="A9" t="inlineStr">
        <is>
          <t>A 16335-2024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45407</v>
      </c>
      <c r="E9" s="1" t="n">
        <v>46320</v>
      </c>
      <c r="F9" t="inlineStr">
        <is>
          <t>VÄRMLANDS LÄN</t>
        </is>
      </c>
      <c r="G9" t="inlineStr">
        <is>
          <t>EDA</t>
        </is>
      </c>
      <c r="I9" t="n">
        <v>3.6</v>
      </c>
      <c r="J9" t="n">
        <v>0</v>
      </c>
      <c r="K9" t="n">
        <v>1</v>
      </c>
      <c r="L9" t="n">
        <v>3</v>
      </c>
      <c r="M9" t="n">
        <v>0</v>
      </c>
      <c r="N9" t="n">
        <v>0</v>
      </c>
      <c r="O9" t="n">
        <v>0</v>
      </c>
      <c r="P9" t="n">
        <v>0</v>
      </c>
      <c r="Q9" t="n">
        <v>3</v>
      </c>
      <c r="R9" t="n">
        <v>0</v>
      </c>
      <c r="S9" t="n">
        <v>4</v>
      </c>
      <c r="T9" t="n">
        <v>5</v>
      </c>
      <c r="U9" t="n">
        <v>0</v>
      </c>
      <c r="V9" s="2" t="inlineStr">
        <is>
          <t>Kattfotslav
Lunglav
Skrovellav
Stuplav</t>
        </is>
      </c>
      <c r="W9">
        <f>HYPERLINK("https://klasma.github.io/Logging_1730/artfynd/A 16335-2024 artfynd.xlsx", "A 16335-2024")</f>
        <v/>
      </c>
      <c r="X9">
        <f>HYPERLINK("https://klasma.github.io/Logging_1730/kartor/A 16335-2024 karta.png", "A 16335-2024")</f>
        <v/>
      </c>
      <c r="Y9">
        <f>HYPERLINK("https://klasma.github.io/Logging_1730/kartor_geotiff/A 16335-2024 georefererad karta.tif", "A 16335-2024")</f>
        <v/>
      </c>
      <c r="AA9">
        <f>HYPERLINK("https://klasma.github.io/Logging_1730/klagomål/A 16335-2024 FSC-klagomål.docx", "A 16335-2024")</f>
        <v/>
      </c>
      <c r="AB9">
        <f>HYPERLINK("https://klasma.github.io/Logging_1730/klagomålsmail/A 16335-2024 FSC-klagomål mail.docx", "A 16335-2024")</f>
        <v/>
      </c>
      <c r="AC9">
        <f>HYPERLINK("https://klasma.github.io/Logging_1730/tillsyn/A 16335-2024 tillsynsbegäran.docx", "A 16335-2024")</f>
        <v/>
      </c>
      <c r="AD9">
        <f>HYPERLINK("https://klasma.github.io/Logging_1730/tillsynsmail/A 16335-2024 tillsynsbegäran mail.docx", "A 16335-2024")</f>
        <v/>
      </c>
    </row>
    <row r="10" ht="15" customHeight="1">
      <c r="A10" t="inlineStr">
        <is>
          <t>A 26898-2022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44740</v>
      </c>
      <c r="E10" s="1" t="n">
        <v>46320</v>
      </c>
      <c r="F10" t="inlineStr">
        <is>
          <t>VÄRMLANDS LÄN</t>
        </is>
      </c>
      <c r="G10" t="inlineStr">
        <is>
          <t>EDA</t>
        </is>
      </c>
      <c r="I10" t="n">
        <v>7.7</v>
      </c>
      <c r="J10" t="n">
        <v>1</v>
      </c>
      <c r="K10" t="n">
        <v>0</v>
      </c>
      <c r="L10" t="n">
        <v>2</v>
      </c>
      <c r="M10" t="n">
        <v>1</v>
      </c>
      <c r="N10" t="n">
        <v>0</v>
      </c>
      <c r="O10" t="n">
        <v>0</v>
      </c>
      <c r="P10" t="n">
        <v>0</v>
      </c>
      <c r="Q10" t="n">
        <v>3</v>
      </c>
      <c r="R10" t="n">
        <v>1</v>
      </c>
      <c r="S10" t="n">
        <v>4</v>
      </c>
      <c r="T10" t="n">
        <v>11</v>
      </c>
      <c r="U10" t="n">
        <v>0</v>
      </c>
      <c r="V10" s="2" t="inlineStr">
        <is>
          <t>Garnlav
Dropptaggsvamp
Vedskivlav
Tjäder</t>
        </is>
      </c>
      <c r="W10">
        <f>HYPERLINK("https://klasma.github.io/Logging_1730/artfynd/A 26898-2022 artfynd.xlsx", "A 26898-2022")</f>
        <v/>
      </c>
      <c r="X10">
        <f>HYPERLINK("https://klasma.github.io/Logging_1730/kartor/A 26898-2022 karta.png", "A 26898-2022")</f>
        <v/>
      </c>
      <c r="Y10">
        <f>HYPERLINK("https://klasma.github.io/Logging_1730/kartor_geotiff/A 26898-2022 georefererad karta.tif", "A 26898-2022")</f>
        <v/>
      </c>
      <c r="AA10">
        <f>HYPERLINK("https://klasma.github.io/Logging_1730/klagomål/A 26898-2022 FSC-klagomål.docx", "A 26898-2022")</f>
        <v/>
      </c>
      <c r="AB10">
        <f>HYPERLINK("https://klasma.github.io/Logging_1730/klagomålsmail/A 26898-2022 FSC-klagomål mail.docx", "A 26898-2022")</f>
        <v/>
      </c>
      <c r="AC10">
        <f>HYPERLINK("https://klasma.github.io/Logging_1730/tillsyn/A 26898-2022 tillsynsbegäran.docx", "A 26898-2022")</f>
        <v/>
      </c>
      <c r="AD10">
        <f>HYPERLINK("https://klasma.github.io/Logging_1730/tillsynsmail/A 26898-2022 tillsynsbegäran mail.docx", "A 26898-2022")</f>
        <v/>
      </c>
      <c r="AE10">
        <f>HYPERLINK("https://klasma.github.io/Logging_1730/fåglar/A 26898-2022 prioriterade fågelarter.docx", "A 26898-2022")</f>
        <v/>
      </c>
    </row>
    <row r="11" ht="15" customHeight="1">
      <c r="A11" t="inlineStr">
        <is>
          <t>A 9157-2024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45358</v>
      </c>
      <c r="E11" s="1" t="n">
        <v>46320</v>
      </c>
      <c r="F11" t="inlineStr">
        <is>
          <t>VÄRMLANDS LÄN</t>
        </is>
      </c>
      <c r="G11" t="inlineStr">
        <is>
          <t>EDA</t>
        </is>
      </c>
      <c r="I11" t="n">
        <v>1.3</v>
      </c>
      <c r="J11" t="n">
        <v>1</v>
      </c>
      <c r="K11" t="n">
        <v>1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3</v>
      </c>
      <c r="T11" t="n">
        <v>3</v>
      </c>
      <c r="U11" t="n">
        <v>3</v>
      </c>
      <c r="V11" s="2" t="inlineStr">
        <is>
          <t>Ullticka
Bronshjon
Spillkråka</t>
        </is>
      </c>
      <c r="W11">
        <f>HYPERLINK("https://klasma.github.io/Logging_1730/artfynd/A 9157-2024 artfynd.xlsx", "A 9157-2024")</f>
        <v/>
      </c>
      <c r="X11">
        <f>HYPERLINK("https://klasma.github.io/Logging_1730/kartor/A 9157-2024 karta.png", "A 9157-2024")</f>
        <v/>
      </c>
      <c r="Y11">
        <f>HYPERLINK("https://klasma.github.io/Logging_1730/kartor_geotiff/A 9157-2024 georefererad karta.tif", "A 9157-2024")</f>
        <v/>
      </c>
      <c r="AA11">
        <f>HYPERLINK("https://klasma.github.io/Logging_1730/klagomål/A 9157-2024 FSC-klagomål.docx", "A 9157-2024")</f>
        <v/>
      </c>
      <c r="AB11">
        <f>HYPERLINK("https://klasma.github.io/Logging_1730/klagomålsmail/A 9157-2024 FSC-klagomål mail.docx", "A 9157-2024")</f>
        <v/>
      </c>
      <c r="AC11">
        <f>HYPERLINK("https://klasma.github.io/Logging_1730/tillsyn/A 9157-2024 tillsynsbegäran.docx", "A 9157-2024")</f>
        <v/>
      </c>
      <c r="AD11">
        <f>HYPERLINK("https://klasma.github.io/Logging_1730/tillsynsmail/A 9157-2024 tillsynsbegäran mail.docx", "A 9157-2024")</f>
        <v/>
      </c>
      <c r="AE11">
        <f>HYPERLINK("https://klasma.github.io/Logging_1730/fåglar/A 9157-2024 prioriterade fågelarter.docx", "A 9157-2024")</f>
        <v/>
      </c>
    </row>
    <row r="12" ht="15" customHeight="1">
      <c r="A12" t="inlineStr">
        <is>
          <t>A 16742-2025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45754</v>
      </c>
      <c r="E12" s="1" t="n">
        <v>46320</v>
      </c>
      <c r="F12" t="inlineStr">
        <is>
          <t>VÄRMLANDS LÄN</t>
        </is>
      </c>
      <c r="G12" t="inlineStr">
        <is>
          <t>EDA</t>
        </is>
      </c>
      <c r="I12" t="n">
        <v>8.9</v>
      </c>
      <c r="J12" t="n">
        <v>3</v>
      </c>
      <c r="K12" t="n">
        <v>0</v>
      </c>
      <c r="L12" t="n">
        <v>2</v>
      </c>
      <c r="M12" t="n">
        <v>0</v>
      </c>
      <c r="N12" t="n">
        <v>0</v>
      </c>
      <c r="O12" t="n">
        <v>0</v>
      </c>
      <c r="P12" t="n">
        <v>0</v>
      </c>
      <c r="Q12" t="n">
        <v>2</v>
      </c>
      <c r="R12" t="n">
        <v>0</v>
      </c>
      <c r="S12" t="n">
        <v>3</v>
      </c>
      <c r="T12" t="n">
        <v>4</v>
      </c>
      <c r="U12" t="n">
        <v>4</v>
      </c>
      <c r="V12" s="2" t="inlineStr">
        <is>
          <t>Talltita
Tretåig hackspett
Tjäder</t>
        </is>
      </c>
      <c r="W12">
        <f>HYPERLINK("https://klasma.github.io/Logging_1730/artfynd/A 16742-2025 artfynd.xlsx", "A 16742-2025")</f>
        <v/>
      </c>
      <c r="X12">
        <f>HYPERLINK("https://klasma.github.io/Logging_1730/kartor/A 16742-2025 karta.png", "A 16742-2025")</f>
        <v/>
      </c>
      <c r="Y12">
        <f>HYPERLINK("https://klasma.github.io/Logging_1730/kartor_geotiff/A 16742-2025 georefererad karta.tif", "A 16742-2025")</f>
        <v/>
      </c>
      <c r="AA12">
        <f>HYPERLINK("https://klasma.github.io/Logging_1730/klagomål/A 16742-2025 FSC-klagomål.docx", "A 16742-2025")</f>
        <v/>
      </c>
      <c r="AB12">
        <f>HYPERLINK("https://klasma.github.io/Logging_1730/klagomålsmail/A 16742-2025 FSC-klagomål mail.docx", "A 16742-2025")</f>
        <v/>
      </c>
      <c r="AC12">
        <f>HYPERLINK("https://klasma.github.io/Logging_1730/tillsyn/A 16742-2025 tillsynsbegäran.docx", "A 16742-2025")</f>
        <v/>
      </c>
      <c r="AD12">
        <f>HYPERLINK("https://klasma.github.io/Logging_1730/tillsynsmail/A 16742-2025 tillsynsbegäran mail.docx", "A 16742-2025")</f>
        <v/>
      </c>
      <c r="AE12">
        <f>HYPERLINK("https://klasma.github.io/Logging_1730/fåglar/A 16742-2025 prioriterade fågelarter.docx", "A 16742-2025")</f>
        <v/>
      </c>
    </row>
    <row r="13" ht="15" customHeight="1">
      <c r="A13" t="inlineStr">
        <is>
          <t>A 14-2024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45293</v>
      </c>
      <c r="E13" s="1" t="n">
        <v>46320</v>
      </c>
      <c r="F13" t="inlineStr">
        <is>
          <t>VÄRMLANDS LÄN</t>
        </is>
      </c>
      <c r="G13" t="inlineStr">
        <is>
          <t>EDA</t>
        </is>
      </c>
      <c r="I13" t="n">
        <v>1.1</v>
      </c>
      <c r="J13" t="n">
        <v>3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1</v>
      </c>
      <c r="S13" t="n">
        <v>3</v>
      </c>
      <c r="T13" t="n">
        <v>4</v>
      </c>
      <c r="U13" t="n">
        <v>4</v>
      </c>
      <c r="V13" s="2" t="inlineStr">
        <is>
          <t>Knärot
Spillkråka
Revlummer</t>
        </is>
      </c>
      <c r="W13">
        <f>HYPERLINK("https://klasma.github.io/Logging_1730/artfynd/A 14-2024 artfynd.xlsx", "A 14-2024")</f>
        <v/>
      </c>
      <c r="X13">
        <f>HYPERLINK("https://klasma.github.io/Logging_1730/kartor/A 14-2024 karta.png", "A 14-2024")</f>
        <v/>
      </c>
      <c r="Y13">
        <f>HYPERLINK("https://klasma.github.io/Logging_1730/kartor_geotiff/A 14-2024 georefererad karta.tif", "A 14-2024")</f>
        <v/>
      </c>
      <c r="Z13">
        <f>HYPERLINK("https://klasma.github.io/Logging_1730/knärot/A 14-2024 karta knärot.png", "A 14-2024")</f>
        <v/>
      </c>
      <c r="AA13">
        <f>HYPERLINK("https://klasma.github.io/Logging_1730/klagomål/A 14-2024 FSC-klagomål.docx", "A 14-2024")</f>
        <v/>
      </c>
      <c r="AB13">
        <f>HYPERLINK("https://klasma.github.io/Logging_1730/klagomålsmail/A 14-2024 FSC-klagomål mail.docx", "A 14-2024")</f>
        <v/>
      </c>
      <c r="AC13">
        <f>HYPERLINK("https://klasma.github.io/Logging_1730/tillsyn/A 14-2024 tillsynsbegäran.docx", "A 14-2024")</f>
        <v/>
      </c>
      <c r="AD13">
        <f>HYPERLINK("https://klasma.github.io/Logging_1730/tillsynsmail/A 14-2024 tillsynsbegäran mail.docx", "A 14-2024")</f>
        <v/>
      </c>
      <c r="AE13">
        <f>HYPERLINK("https://klasma.github.io/Logging_1730/fåglar/A 14-2024 prioriterade fågelarter.docx", "A 14-2024")</f>
        <v/>
      </c>
    </row>
    <row r="14" ht="15" customHeight="1">
      <c r="A14" t="inlineStr">
        <is>
          <t>A 61527-2022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44916</v>
      </c>
      <c r="E14" s="1" t="n">
        <v>46320</v>
      </c>
      <c r="F14" t="inlineStr">
        <is>
          <t>VÄRMLANDS LÄN</t>
        </is>
      </c>
      <c r="G14" t="inlineStr">
        <is>
          <t>EDA</t>
        </is>
      </c>
      <c r="I14" t="n">
        <v>4.3</v>
      </c>
      <c r="J14" t="n">
        <v>1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2</v>
      </c>
      <c r="R14" t="n">
        <v>1</v>
      </c>
      <c r="S14" t="n">
        <v>3</v>
      </c>
      <c r="T14" t="n">
        <v>3</v>
      </c>
      <c r="U14" t="n">
        <v>3</v>
      </c>
      <c r="V14" s="2" t="inlineStr">
        <is>
          <t>Garnlav
Dropptaggsvamp
Tjäder</t>
        </is>
      </c>
      <c r="W14">
        <f>HYPERLINK("https://klasma.github.io/Logging_1730/artfynd/A 61527-2022 artfynd.xlsx", "A 61527-2022")</f>
        <v/>
      </c>
      <c r="X14">
        <f>HYPERLINK("https://klasma.github.io/Logging_1730/kartor/A 61527-2022 karta.png", "A 61527-2022")</f>
        <v/>
      </c>
      <c r="Y14">
        <f>HYPERLINK("https://klasma.github.io/Logging_1730/kartor_geotiff/A 61527-2022 georefererad karta.tif", "A 61527-2022")</f>
        <v/>
      </c>
      <c r="AA14">
        <f>HYPERLINK("https://klasma.github.io/Logging_1730/klagomål/A 61527-2022 FSC-klagomål.docx", "A 61527-2022")</f>
        <v/>
      </c>
      <c r="AB14">
        <f>HYPERLINK("https://klasma.github.io/Logging_1730/klagomålsmail/A 61527-2022 FSC-klagomål mail.docx", "A 61527-2022")</f>
        <v/>
      </c>
      <c r="AC14">
        <f>HYPERLINK("https://klasma.github.io/Logging_1730/tillsyn/A 61527-2022 tillsynsbegäran.docx", "A 61527-2022")</f>
        <v/>
      </c>
      <c r="AD14">
        <f>HYPERLINK("https://klasma.github.io/Logging_1730/tillsynsmail/A 61527-2022 tillsynsbegäran mail.docx", "A 61527-2022")</f>
        <v/>
      </c>
      <c r="AE14">
        <f>HYPERLINK("https://klasma.github.io/Logging_1730/fåglar/A 61527-2022 prioriterade fågelarter.docx", "A 61527-2022")</f>
        <v/>
      </c>
    </row>
    <row r="15" ht="15" customHeight="1">
      <c r="A15" t="inlineStr">
        <is>
          <t>A 51253-2022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44868</v>
      </c>
      <c r="E15" s="1" t="n">
        <v>46320</v>
      </c>
      <c r="F15" t="inlineStr">
        <is>
          <t>VÄRMLANDS LÄN</t>
        </is>
      </c>
      <c r="G15" t="inlineStr">
        <is>
          <t>EDA</t>
        </is>
      </c>
      <c r="I15" t="n">
        <v>8.9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2</v>
      </c>
      <c r="R15" t="n">
        <v>1</v>
      </c>
      <c r="S15" t="n">
        <v>2</v>
      </c>
      <c r="T15" t="n">
        <v>3</v>
      </c>
      <c r="U15" t="n">
        <v>3</v>
      </c>
      <c r="V15" s="2" t="inlineStr">
        <is>
          <t>Garnlav
Dropptaggsvamp</t>
        </is>
      </c>
      <c r="W15">
        <f>HYPERLINK("https://klasma.github.io/Logging_1730/artfynd/A 51253-2022 artfynd.xlsx", "A 51253-2022")</f>
        <v/>
      </c>
      <c r="X15">
        <f>HYPERLINK("https://klasma.github.io/Logging_1730/kartor/A 51253-2022 karta.png", "A 51253-2022")</f>
        <v/>
      </c>
      <c r="Y15">
        <f>HYPERLINK("https://klasma.github.io/Logging_1730/kartor_geotiff/A 51253-2022 georefererad karta.tif", "A 51253-2022")</f>
        <v/>
      </c>
      <c r="AA15">
        <f>HYPERLINK("https://klasma.github.io/Logging_1730/klagomål/A 51253-2022 FSC-klagomål.docx", "A 51253-2022")</f>
        <v/>
      </c>
      <c r="AB15">
        <f>HYPERLINK("https://klasma.github.io/Logging_1730/klagomålsmail/A 51253-2022 FSC-klagomål mail.docx", "A 51253-2022")</f>
        <v/>
      </c>
      <c r="AC15">
        <f>HYPERLINK("https://klasma.github.io/Logging_1730/tillsyn/A 51253-2022 tillsynsbegäran.docx", "A 51253-2022")</f>
        <v/>
      </c>
      <c r="AD15">
        <f>HYPERLINK("https://klasma.github.io/Logging_1730/tillsynsmail/A 51253-2022 tillsynsbegäran mail.docx", "A 51253-2022")</f>
        <v/>
      </c>
    </row>
    <row r="16" ht="15" customHeight="1">
      <c r="A16" t="inlineStr">
        <is>
          <t>A 50102-2022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44865</v>
      </c>
      <c r="E16" s="1" t="n">
        <v>46320</v>
      </c>
      <c r="F16" t="inlineStr">
        <is>
          <t>VÄRMLANDS LÄN</t>
        </is>
      </c>
      <c r="G16" t="inlineStr">
        <is>
          <t>EDA</t>
        </is>
      </c>
      <c r="I16" t="n">
        <v>2.6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2</v>
      </c>
      <c r="T16" t="n">
        <v>2</v>
      </c>
      <c r="U16" t="n">
        <v>2</v>
      </c>
      <c r="V16" s="2" t="inlineStr">
        <is>
          <t>Ullticka
Tibast</t>
        </is>
      </c>
      <c r="W16">
        <f>HYPERLINK("https://klasma.github.io/Logging_1730/artfynd/A 50102-2022 artfynd.xlsx", "A 50102-2022")</f>
        <v/>
      </c>
      <c r="X16">
        <f>HYPERLINK("https://klasma.github.io/Logging_1730/kartor/A 50102-2022 karta.png", "A 50102-2022")</f>
        <v/>
      </c>
      <c r="Y16">
        <f>HYPERLINK("https://klasma.github.io/Logging_1730/kartor_geotiff/A 50102-2022 georefererad karta.tif", "A 50102-2022")</f>
        <v/>
      </c>
      <c r="AA16">
        <f>HYPERLINK("https://klasma.github.io/Logging_1730/klagomål/A 50102-2022 FSC-klagomål.docx", "A 50102-2022")</f>
        <v/>
      </c>
      <c r="AB16">
        <f>HYPERLINK("https://klasma.github.io/Logging_1730/klagomålsmail/A 50102-2022 FSC-klagomål mail.docx", "A 50102-2022")</f>
        <v/>
      </c>
      <c r="AC16">
        <f>HYPERLINK("https://klasma.github.io/Logging_1730/tillsyn/A 50102-2022 tillsynsbegäran.docx", "A 50102-2022")</f>
        <v/>
      </c>
      <c r="AD16">
        <f>HYPERLINK("https://klasma.github.io/Logging_1730/tillsynsmail/A 50102-2022 tillsynsbegäran mail.docx", "A 50102-2022")</f>
        <v/>
      </c>
    </row>
    <row r="17" ht="15" customHeight="1">
      <c r="A17" t="inlineStr">
        <is>
          <t>A 55797-2022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44888</v>
      </c>
      <c r="E17" s="1" t="n">
        <v>46320</v>
      </c>
      <c r="F17" t="inlineStr">
        <is>
          <t>VÄRMLANDS LÄN</t>
        </is>
      </c>
      <c r="G17" t="inlineStr">
        <is>
          <t>EDA</t>
        </is>
      </c>
      <c r="I17" t="n">
        <v>3.4</v>
      </c>
      <c r="J17" t="n">
        <v>2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2</v>
      </c>
      <c r="T17" t="n">
        <v>3</v>
      </c>
      <c r="U17" t="n">
        <v>3</v>
      </c>
      <c r="V17" s="2" t="inlineStr">
        <is>
          <t>Talltita
Skogsödla</t>
        </is>
      </c>
      <c r="W17">
        <f>HYPERLINK("https://klasma.github.io/Logging_1730/artfynd/A 55797-2022 artfynd.xlsx", "A 55797-2022")</f>
        <v/>
      </c>
      <c r="X17">
        <f>HYPERLINK("https://klasma.github.io/Logging_1730/kartor/A 55797-2022 karta.png", "A 55797-2022")</f>
        <v/>
      </c>
      <c r="Y17">
        <f>HYPERLINK("https://klasma.github.io/Logging_1730/kartor_geotiff/A 55797-2022 georefererad karta.tif", "A 55797-2022")</f>
        <v/>
      </c>
      <c r="AA17">
        <f>HYPERLINK("https://klasma.github.io/Logging_1730/klagomål/A 55797-2022 FSC-klagomål.docx", "A 55797-2022")</f>
        <v/>
      </c>
      <c r="AB17">
        <f>HYPERLINK("https://klasma.github.io/Logging_1730/klagomålsmail/A 55797-2022 FSC-klagomål mail.docx", "A 55797-2022")</f>
        <v/>
      </c>
      <c r="AC17">
        <f>HYPERLINK("https://klasma.github.io/Logging_1730/tillsyn/A 55797-2022 tillsynsbegäran.docx", "A 55797-2022")</f>
        <v/>
      </c>
      <c r="AD17">
        <f>HYPERLINK("https://klasma.github.io/Logging_1730/tillsynsmail/A 55797-2022 tillsynsbegäran mail.docx", "A 55797-2022")</f>
        <v/>
      </c>
      <c r="AE17">
        <f>HYPERLINK("https://klasma.github.io/Logging_1730/fåglar/A 55797-2022 prioriterade fågelarter.docx", "A 55797-2022")</f>
        <v/>
      </c>
    </row>
    <row r="18" ht="15" customHeight="1">
      <c r="A18" t="inlineStr">
        <is>
          <t>A 56492-2023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45243</v>
      </c>
      <c r="E18" s="1" t="n">
        <v>46320</v>
      </c>
      <c r="F18" t="inlineStr">
        <is>
          <t>VÄRMLANDS LÄN</t>
        </is>
      </c>
      <c r="G18" t="inlineStr">
        <is>
          <t>EDA</t>
        </is>
      </c>
      <c r="I18" t="n">
        <v>3.5</v>
      </c>
      <c r="J18" t="n">
        <v>0</v>
      </c>
      <c r="K18" t="n">
        <v>0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2</v>
      </c>
      <c r="T18" t="n">
        <v>2</v>
      </c>
      <c r="U18" t="n">
        <v>0</v>
      </c>
      <c r="V18" s="2" t="inlineStr">
        <is>
          <t>Ullticka
Vedtrappmossa</t>
        </is>
      </c>
      <c r="W18">
        <f>HYPERLINK("https://klasma.github.io/Logging_1730/artfynd/A 56492-2023 artfynd.xlsx", "A 56492-2023")</f>
        <v/>
      </c>
      <c r="X18">
        <f>HYPERLINK("https://klasma.github.io/Logging_1730/kartor/A 56492-2023 karta.png", "A 56492-2023")</f>
        <v/>
      </c>
      <c r="Y18">
        <f>HYPERLINK("https://klasma.github.io/Logging_1730/kartor_geotiff/A 56492-2023 georefererad karta.tif", "A 56492-2023")</f>
        <v/>
      </c>
      <c r="AA18">
        <f>HYPERLINK("https://klasma.github.io/Logging_1730/klagomål/A 56492-2023 FSC-klagomål.docx", "A 56492-2023")</f>
        <v/>
      </c>
      <c r="AB18">
        <f>HYPERLINK("https://klasma.github.io/Logging_1730/klagomålsmail/A 56492-2023 FSC-klagomål mail.docx", "A 56492-2023")</f>
        <v/>
      </c>
      <c r="AC18">
        <f>HYPERLINK("https://klasma.github.io/Logging_1730/tillsyn/A 56492-2023 tillsynsbegäran.docx", "A 56492-2023")</f>
        <v/>
      </c>
      <c r="AD18">
        <f>HYPERLINK("https://klasma.github.io/Logging_1730/tillsynsmail/A 56492-2023 tillsynsbegäran mail.docx", "A 56492-2023")</f>
        <v/>
      </c>
    </row>
    <row r="19" ht="15" customHeight="1">
      <c r="A19" t="inlineStr">
        <is>
          <t>A 2386-2024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45310</v>
      </c>
      <c r="E19" s="1" t="n">
        <v>46320</v>
      </c>
      <c r="F19" t="inlineStr">
        <is>
          <t>VÄRMLANDS LÄN</t>
        </is>
      </c>
      <c r="G19" t="inlineStr">
        <is>
          <t>EDA</t>
        </is>
      </c>
      <c r="I19" t="n">
        <v>1.5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2</v>
      </c>
      <c r="T19" t="n">
        <v>2</v>
      </c>
      <c r="U19" t="n">
        <v>0</v>
      </c>
      <c r="V19" s="2" t="inlineStr">
        <is>
          <t>Garnlav
Blåsippa</t>
        </is>
      </c>
      <c r="W19">
        <f>HYPERLINK("https://klasma.github.io/Logging_1730/artfynd/A 2386-2024 artfynd.xlsx", "A 2386-2024")</f>
        <v/>
      </c>
      <c r="X19">
        <f>HYPERLINK("https://klasma.github.io/Logging_1730/kartor/A 2386-2024 karta.png", "A 2386-2024")</f>
        <v/>
      </c>
      <c r="Y19">
        <f>HYPERLINK("https://klasma.github.io/Logging_1730/kartor_geotiff/A 2386-2024 georefererad karta.tif", "A 2386-2024")</f>
        <v/>
      </c>
      <c r="AA19">
        <f>HYPERLINK("https://klasma.github.io/Logging_1730/klagomål/A 2386-2024 FSC-klagomål.docx", "A 2386-2024")</f>
        <v/>
      </c>
      <c r="AB19">
        <f>HYPERLINK("https://klasma.github.io/Logging_1730/klagomålsmail/A 2386-2024 FSC-klagomål mail.docx", "A 2386-2024")</f>
        <v/>
      </c>
      <c r="AC19">
        <f>HYPERLINK("https://klasma.github.io/Logging_1730/tillsyn/A 2386-2024 tillsynsbegäran.docx", "A 2386-2024")</f>
        <v/>
      </c>
      <c r="AD19">
        <f>HYPERLINK("https://klasma.github.io/Logging_1730/tillsynsmail/A 2386-2024 tillsynsbegäran mail.docx", "A 2386-2024")</f>
        <v/>
      </c>
    </row>
    <row r="20" ht="15" customHeight="1">
      <c r="A20" t="inlineStr">
        <is>
          <t>A 45093-2024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45575</v>
      </c>
      <c r="E20" s="1" t="n">
        <v>46320</v>
      </c>
      <c r="F20" t="inlineStr">
        <is>
          <t>VÄRMLANDS LÄN</t>
        </is>
      </c>
      <c r="G20" t="inlineStr">
        <is>
          <t>EDA</t>
        </is>
      </c>
      <c r="I20" t="n">
        <v>3.6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2</v>
      </c>
      <c r="T20" t="n">
        <v>2</v>
      </c>
      <c r="U20" t="n">
        <v>0</v>
      </c>
      <c r="V20" s="2" t="inlineStr">
        <is>
          <t>Garnlav
Svartvit flugsnappare</t>
        </is>
      </c>
      <c r="W20">
        <f>HYPERLINK("https://klasma.github.io/Logging_1730/artfynd/A 45093-2024 artfynd.xlsx", "A 45093-2024")</f>
        <v/>
      </c>
      <c r="X20">
        <f>HYPERLINK("https://klasma.github.io/Logging_1730/kartor/A 45093-2024 karta.png", "A 45093-2024")</f>
        <v/>
      </c>
      <c r="Y20">
        <f>HYPERLINK("https://klasma.github.io/Logging_1730/kartor_geotiff/A 45093-2024 georefererad karta.tif", "A 45093-2024")</f>
        <v/>
      </c>
      <c r="AA20">
        <f>HYPERLINK("https://klasma.github.io/Logging_1730/klagomål/A 45093-2024 FSC-klagomål.docx", "A 45093-2024")</f>
        <v/>
      </c>
      <c r="AB20">
        <f>HYPERLINK("https://klasma.github.io/Logging_1730/klagomålsmail/A 45093-2024 FSC-klagomål mail.docx", "A 45093-2024")</f>
        <v/>
      </c>
      <c r="AC20">
        <f>HYPERLINK("https://klasma.github.io/Logging_1730/tillsyn/A 45093-2024 tillsynsbegäran.docx", "A 45093-2024")</f>
        <v/>
      </c>
      <c r="AD20">
        <f>HYPERLINK("https://klasma.github.io/Logging_1730/tillsynsmail/A 45093-2024 tillsynsbegäran mail.docx", "A 45093-2024")</f>
        <v/>
      </c>
    </row>
    <row r="21" ht="15" customHeight="1">
      <c r="A21" t="inlineStr">
        <is>
          <t>A 39831-2026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46290</v>
      </c>
      <c r="E21" s="1" t="n">
        <v>46320</v>
      </c>
      <c r="F21" t="inlineStr">
        <is>
          <t>VÄRMLANDS LÄN</t>
        </is>
      </c>
      <c r="G21" t="inlineStr">
        <is>
          <t>EDA</t>
        </is>
      </c>
      <c r="I21" t="n">
        <v>5.6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</v>
      </c>
      <c r="T21" t="n">
        <v>2</v>
      </c>
      <c r="U21" t="n">
        <v>0</v>
      </c>
      <c r="V21" s="2" t="inlineStr">
        <is>
          <t>Grönsiska
Kungsfågel</t>
        </is>
      </c>
      <c r="W21">
        <f>HYPERLINK("https://klasma.github.io/Logging_1730/artfynd/A 39831-2026 artfynd.xlsx", "A 39831-2026")</f>
        <v/>
      </c>
      <c r="X21">
        <f>HYPERLINK("https://klasma.github.io/Logging_1730/kartor/A 39831-2026 karta.png", "A 39831-2026")</f>
        <v/>
      </c>
      <c r="Y21">
        <f>HYPERLINK("https://klasma.github.io/Logging_1730/kartor_geotiff/A 39831-2026 georefererad karta.tif", "A 39831-2026")</f>
        <v/>
      </c>
      <c r="AA21">
        <f>HYPERLINK("https://klasma.github.io/Logging_1730/klagomål/A 39831-2026 FSC-klagomål.docx", "A 39831-2026")</f>
        <v/>
      </c>
      <c r="AB21">
        <f>HYPERLINK("https://klasma.github.io/Logging_1730/klagomålsmail/A 39831-2026 FSC-klagomål mail.docx", "A 39831-2026")</f>
        <v/>
      </c>
      <c r="AC21">
        <f>HYPERLINK("https://klasma.github.io/Logging_1730/tillsyn/A 39831-2026 tillsynsbegäran.docx", "A 39831-2026")</f>
        <v/>
      </c>
      <c r="AD21">
        <f>HYPERLINK("https://klasma.github.io/Logging_1730/tillsynsmail/A 39831-2026 tillsynsbegäran mail.docx", "A 39831-2026")</f>
        <v/>
      </c>
    </row>
    <row r="22" ht="15" customHeight="1">
      <c r="A22" t="inlineStr">
        <is>
          <t>A 35585-2025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45856</v>
      </c>
      <c r="E22" s="1" t="n">
        <v>46320</v>
      </c>
      <c r="F22" t="inlineStr">
        <is>
          <t>VÄRMLANDS LÄN</t>
        </is>
      </c>
      <c r="G22" t="inlineStr">
        <is>
          <t>EDA</t>
        </is>
      </c>
      <c r="I22" t="n">
        <v>5.3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</v>
      </c>
      <c r="T22" t="n">
        <v>2</v>
      </c>
      <c r="U22" t="n">
        <v>2</v>
      </c>
      <c r="V22" s="2" t="inlineStr">
        <is>
          <t>Björksplintborre
Fläcknycklar</t>
        </is>
      </c>
      <c r="W22">
        <f>HYPERLINK("https://klasma.github.io/Logging_1730/artfynd/A 35585-2025 artfynd.xlsx", "A 35585-2025")</f>
        <v/>
      </c>
      <c r="X22">
        <f>HYPERLINK("https://klasma.github.io/Logging_1730/kartor/A 35585-2025 karta.png", "A 35585-2025")</f>
        <v/>
      </c>
      <c r="Y22">
        <f>HYPERLINK("https://klasma.github.io/Logging_1730/kartor_geotiff/A 35585-2025 georefererad karta.tif", "A 35585-2025")</f>
        <v/>
      </c>
      <c r="AA22">
        <f>HYPERLINK("https://klasma.github.io/Logging_1730/klagomål/A 35585-2025 FSC-klagomål.docx", "A 35585-2025")</f>
        <v/>
      </c>
      <c r="AB22">
        <f>HYPERLINK("https://klasma.github.io/Logging_1730/klagomålsmail/A 35585-2025 FSC-klagomål mail.docx", "A 35585-2025")</f>
        <v/>
      </c>
      <c r="AC22">
        <f>HYPERLINK("https://klasma.github.io/Logging_1730/tillsyn/A 35585-2025 tillsynsbegäran.docx", "A 35585-2025")</f>
        <v/>
      </c>
      <c r="AD22">
        <f>HYPERLINK("https://klasma.github.io/Logging_1730/tillsynsmail/A 35585-2025 tillsynsbegäran mail.docx", "A 35585-2025")</f>
        <v/>
      </c>
    </row>
    <row r="23" ht="15" customHeight="1">
      <c r="A23" t="inlineStr">
        <is>
          <t>A 7240-2023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44970</v>
      </c>
      <c r="E23" s="1" t="n">
        <v>46320</v>
      </c>
      <c r="F23" t="inlineStr">
        <is>
          <t>VÄRMLANDS LÄN</t>
        </is>
      </c>
      <c r="G23" t="inlineStr">
        <is>
          <t>EDA</t>
        </is>
      </c>
      <c r="I23" t="n">
        <v>17.4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</v>
      </c>
      <c r="T23" t="n">
        <v>3</v>
      </c>
      <c r="U23" t="n">
        <v>2</v>
      </c>
      <c r="V23" s="2" t="inlineStr">
        <is>
          <t>Sotriska
Fläcknycklar</t>
        </is>
      </c>
      <c r="W23">
        <f>HYPERLINK("https://klasma.github.io/Logging_1730/artfynd/A 7240-2023 artfynd.xlsx", "A 7240-2023")</f>
        <v/>
      </c>
      <c r="X23">
        <f>HYPERLINK("https://klasma.github.io/Logging_1730/kartor/A 7240-2023 karta.png", "A 7240-2023")</f>
        <v/>
      </c>
      <c r="Y23">
        <f>HYPERLINK("https://klasma.github.io/Logging_1730/kartor_geotiff/A 7240-2023 georefererad karta.tif", "A 7240-2023")</f>
        <v/>
      </c>
      <c r="AA23">
        <f>HYPERLINK("https://klasma.github.io/Logging_1730/klagomål/A 7240-2023 FSC-klagomål.docx", "A 7240-2023")</f>
        <v/>
      </c>
      <c r="AB23">
        <f>HYPERLINK("https://klasma.github.io/Logging_1730/klagomålsmail/A 7240-2023 FSC-klagomål mail.docx", "A 7240-2023")</f>
        <v/>
      </c>
      <c r="AC23">
        <f>HYPERLINK("https://klasma.github.io/Logging_1730/tillsyn/A 7240-2023 tillsynsbegäran.docx", "A 7240-2023")</f>
        <v/>
      </c>
      <c r="AD23">
        <f>HYPERLINK("https://klasma.github.io/Logging_1730/tillsynsmail/A 7240-2023 tillsynsbegäran mail.docx", "A 7240-2023")</f>
        <v/>
      </c>
    </row>
    <row r="24" ht="15" customHeight="1">
      <c r="A24" t="inlineStr">
        <is>
          <t>A 26039-2023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45091</v>
      </c>
      <c r="E24" s="1" t="n">
        <v>46320</v>
      </c>
      <c r="F24" t="inlineStr">
        <is>
          <t>VÄRMLANDS LÄN</t>
        </is>
      </c>
      <c r="G24" t="inlineStr">
        <is>
          <t>EDA</t>
        </is>
      </c>
      <c r="I24" t="n">
        <v>1.6</v>
      </c>
      <c r="J24" t="n">
        <v>2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2</v>
      </c>
      <c r="T24" t="n">
        <v>2</v>
      </c>
      <c r="U24" t="n">
        <v>2</v>
      </c>
      <c r="V24" s="2" t="inlineStr">
        <is>
          <t>Gulsparv
Buskskvätta</t>
        </is>
      </c>
      <c r="W24">
        <f>HYPERLINK("https://klasma.github.io/Logging_1730/artfynd/A 26039-2023 artfynd.xlsx", "A 26039-2023")</f>
        <v/>
      </c>
      <c r="X24">
        <f>HYPERLINK("https://klasma.github.io/Logging_1730/kartor/A 26039-2023 karta.png", "A 26039-2023")</f>
        <v/>
      </c>
      <c r="Y24">
        <f>HYPERLINK("https://klasma.github.io/Logging_1730/kartor_geotiff/A 26039-2023 georefererad karta.tif", "A 26039-2023")</f>
        <v/>
      </c>
      <c r="AA24">
        <f>HYPERLINK("https://klasma.github.io/Logging_1730/klagomål/A 26039-2023 FSC-klagomål.docx", "A 26039-2023")</f>
        <v/>
      </c>
      <c r="AB24">
        <f>HYPERLINK("https://klasma.github.io/Logging_1730/klagomålsmail/A 26039-2023 FSC-klagomål mail.docx", "A 26039-2023")</f>
        <v/>
      </c>
      <c r="AC24">
        <f>HYPERLINK("https://klasma.github.io/Logging_1730/tillsyn/A 26039-2023 tillsynsbegäran.docx", "A 26039-2023")</f>
        <v/>
      </c>
      <c r="AD24">
        <f>HYPERLINK("https://klasma.github.io/Logging_1730/tillsynsmail/A 26039-2023 tillsynsbegäran mail.docx", "A 26039-2023")</f>
        <v/>
      </c>
      <c r="AE24">
        <f>HYPERLINK("https://klasma.github.io/Logging_1730/fåglar/A 26039-2023 prioriterade fågelarter.docx", "A 26039-2023")</f>
        <v/>
      </c>
    </row>
    <row r="25" ht="15" customHeight="1">
      <c r="A25" t="inlineStr">
        <is>
          <t>A 18763-2024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45426</v>
      </c>
      <c r="E25" s="1" t="n">
        <v>46320</v>
      </c>
      <c r="F25" t="inlineStr">
        <is>
          <t>VÄRMLANDS LÄN</t>
        </is>
      </c>
      <c r="G25" t="inlineStr">
        <is>
          <t>EDA</t>
        </is>
      </c>
      <c r="I25" t="n">
        <v>2.4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2</v>
      </c>
      <c r="T25" t="n">
        <v>2</v>
      </c>
      <c r="U25" t="n">
        <v>2</v>
      </c>
      <c r="V25" s="2" t="inlineStr">
        <is>
          <t>Ullticka
Bronshjon</t>
        </is>
      </c>
      <c r="W25">
        <f>HYPERLINK("https://klasma.github.io/Logging_1730/artfynd/A 18763-2024 artfynd.xlsx", "A 18763-2024")</f>
        <v/>
      </c>
      <c r="X25">
        <f>HYPERLINK("https://klasma.github.io/Logging_1730/kartor/A 18763-2024 karta.png", "A 18763-2024")</f>
        <v/>
      </c>
      <c r="Y25">
        <f>HYPERLINK("https://klasma.github.io/Logging_1730/kartor_geotiff/A 18763-2024 georefererad karta.tif", "A 18763-2024")</f>
        <v/>
      </c>
      <c r="AA25">
        <f>HYPERLINK("https://klasma.github.io/Logging_1730/klagomål/A 18763-2024 FSC-klagomål.docx", "A 18763-2024")</f>
        <v/>
      </c>
      <c r="AB25">
        <f>HYPERLINK("https://klasma.github.io/Logging_1730/klagomålsmail/A 18763-2024 FSC-klagomål mail.docx", "A 18763-2024")</f>
        <v/>
      </c>
      <c r="AC25">
        <f>HYPERLINK("https://klasma.github.io/Logging_1730/tillsyn/A 18763-2024 tillsynsbegäran.docx", "A 18763-2024")</f>
        <v/>
      </c>
      <c r="AD25">
        <f>HYPERLINK("https://klasma.github.io/Logging_1730/tillsynsmail/A 18763-2024 tillsynsbegäran mail.docx", "A 18763-2024")</f>
        <v/>
      </c>
    </row>
    <row r="26" ht="15" customHeight="1">
      <c r="A26" t="inlineStr">
        <is>
          <t>A 2841-2024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45315</v>
      </c>
      <c r="E26" s="1" t="n">
        <v>46320</v>
      </c>
      <c r="F26" t="inlineStr">
        <is>
          <t>VÄRMLANDS LÄN</t>
        </is>
      </c>
      <c r="G26" t="inlineStr">
        <is>
          <t>EDA</t>
        </is>
      </c>
      <c r="I26" t="n">
        <v>2.1</v>
      </c>
      <c r="J26" t="n">
        <v>1</v>
      </c>
      <c r="K26" t="n">
        <v>0</v>
      </c>
      <c r="L26" t="n">
        <v>2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  <c r="R26" t="n">
        <v>0</v>
      </c>
      <c r="S26" t="n">
        <v>2</v>
      </c>
      <c r="T26" t="n">
        <v>2</v>
      </c>
      <c r="U26" t="n">
        <v>2</v>
      </c>
      <c r="V26" s="2" t="inlineStr">
        <is>
          <t>Talltita
Ullticka</t>
        </is>
      </c>
      <c r="W26">
        <f>HYPERLINK("https://klasma.github.io/Logging_1730/artfynd/A 2841-2024 artfynd.xlsx", "A 2841-2024")</f>
        <v/>
      </c>
      <c r="X26">
        <f>HYPERLINK("https://klasma.github.io/Logging_1730/kartor/A 2841-2024 karta.png", "A 2841-2024")</f>
        <v/>
      </c>
      <c r="Y26">
        <f>HYPERLINK("https://klasma.github.io/Logging_1730/kartor_geotiff/A 2841-2024 georefererad karta.tif", "A 2841-2024")</f>
        <v/>
      </c>
      <c r="AA26">
        <f>HYPERLINK("https://klasma.github.io/Logging_1730/klagomål/A 2841-2024 FSC-klagomål.docx", "A 2841-2024")</f>
        <v/>
      </c>
      <c r="AB26">
        <f>HYPERLINK("https://klasma.github.io/Logging_1730/klagomålsmail/A 2841-2024 FSC-klagomål mail.docx", "A 2841-2024")</f>
        <v/>
      </c>
      <c r="AC26">
        <f>HYPERLINK("https://klasma.github.io/Logging_1730/tillsyn/A 2841-2024 tillsynsbegäran.docx", "A 2841-2024")</f>
        <v/>
      </c>
      <c r="AD26">
        <f>HYPERLINK("https://klasma.github.io/Logging_1730/tillsynsmail/A 2841-2024 tillsynsbegäran mail.docx", "A 2841-2024")</f>
        <v/>
      </c>
      <c r="AE26">
        <f>HYPERLINK("https://klasma.github.io/Logging_1730/fåglar/A 2841-2024 prioriterade fågelarter.docx", "A 2841-2024")</f>
        <v/>
      </c>
    </row>
    <row r="27" ht="15" customHeight="1">
      <c r="A27" t="inlineStr">
        <is>
          <t>S 3567-2024</t>
        </is>
      </c>
      <c r="B27" t="inlineStr">
        <is>
          <t>samrådsanmälan</t>
        </is>
      </c>
      <c r="C27" t="inlineStr">
        <is>
          <t>Annan skogsbruksåtgärd</t>
        </is>
      </c>
      <c r="D27" s="1" t="n">
        <v>45545</v>
      </c>
      <c r="E27" s="1" t="n">
        <v>46320</v>
      </c>
      <c r="F27" t="inlineStr">
        <is>
          <t>VÄRMLANDS LÄN</t>
        </is>
      </c>
      <c r="G27" t="inlineStr">
        <is>
          <t>EDA</t>
        </is>
      </c>
      <c r="I27" t="n">
        <v>7.5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1</v>
      </c>
      <c r="S27" t="n">
        <v>2</v>
      </c>
      <c r="T27" t="n">
        <v>2</v>
      </c>
      <c r="U27" t="n">
        <v>2</v>
      </c>
      <c r="V27" s="2" t="inlineStr">
        <is>
          <t>Garnlav
Buskskvätta</t>
        </is>
      </c>
      <c r="W27">
        <f>HYPERLINK("https://klasma.github.io/Logging_1730/artfynd/S 3567-2024 artfynd.xlsx", "S 3567-2024")</f>
        <v/>
      </c>
      <c r="X27">
        <f>HYPERLINK("https://klasma.github.io/Logging_1730/kartor/S 3567-2024 karta.png", "S 3567-2024")</f>
        <v/>
      </c>
      <c r="Y27">
        <f>HYPERLINK("https://klasma.github.io/Logging_1730/kartor_geotiff/S 3567-2024 georefererad karta.tif", "S 3567-2024")</f>
        <v/>
      </c>
      <c r="AA27">
        <f>HYPERLINK("https://klasma.github.io/Logging_1730/klagomål/S 3567-2024 FSC-klagomål.docx", "S 3567-2024")</f>
        <v/>
      </c>
      <c r="AB27">
        <f>HYPERLINK("https://klasma.github.io/Logging_1730/klagomålsmail/S 3567-2024 FSC-klagomål mail.docx", "S 3567-2024")</f>
        <v/>
      </c>
      <c r="AC27">
        <f>HYPERLINK("https://klasma.github.io/Logging_1730/tillsyn/S 3567-2024 tillsynsbegäran.docx", "S 3567-2024")</f>
        <v/>
      </c>
      <c r="AD27">
        <f>HYPERLINK("https://klasma.github.io/Logging_1730/tillsynsmail/S 3567-2024 tillsynsbegäran mail.docx", "S 3567-2024")</f>
        <v/>
      </c>
    </row>
    <row r="28" ht="15" customHeight="1">
      <c r="A28" t="inlineStr">
        <is>
          <t>A 56496-2023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45243</v>
      </c>
      <c r="E28" s="1" t="n">
        <v>46320</v>
      </c>
      <c r="F28" t="inlineStr">
        <is>
          <t>VÄRMLANDS LÄN</t>
        </is>
      </c>
      <c r="G28" t="inlineStr">
        <is>
          <t>EDA</t>
        </is>
      </c>
      <c r="I28" t="n">
        <v>6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1</v>
      </c>
      <c r="U28" t="n">
        <v>0</v>
      </c>
      <c r="V28" s="2" t="inlineStr">
        <is>
          <t>Blåsippa</t>
        </is>
      </c>
      <c r="W28">
        <f>HYPERLINK("https://klasma.github.io/Logging_1730/artfynd/A 56496-2023 artfynd.xlsx", "A 56496-2023")</f>
        <v/>
      </c>
      <c r="X28">
        <f>HYPERLINK("https://klasma.github.io/Logging_1730/kartor/A 56496-2023 karta.png", "A 56496-2023")</f>
        <v/>
      </c>
      <c r="Y28">
        <f>HYPERLINK("https://klasma.github.io/Logging_1730/kartor_geotiff/A 56496-2023 georefererad karta.tif", "A 56496-2023")</f>
        <v/>
      </c>
      <c r="AA28">
        <f>HYPERLINK("https://klasma.github.io/Logging_1730/klagomål/A 56496-2023 FSC-klagomål.docx", "A 56496-2023")</f>
        <v/>
      </c>
      <c r="AB28">
        <f>HYPERLINK("https://klasma.github.io/Logging_1730/klagomålsmail/A 56496-2023 FSC-klagomål mail.docx", "A 56496-2023")</f>
        <v/>
      </c>
      <c r="AC28">
        <f>HYPERLINK("https://klasma.github.io/Logging_1730/tillsyn/A 56496-2023 tillsynsbegäran.docx", "A 56496-2023")</f>
        <v/>
      </c>
      <c r="AD28">
        <f>HYPERLINK("https://klasma.github.io/Logging_1730/tillsynsmail/A 56496-2023 tillsynsbegäran mail.docx", "A 56496-2023")</f>
        <v/>
      </c>
    </row>
    <row r="29" ht="15" customHeight="1">
      <c r="A29" t="inlineStr">
        <is>
          <t>A 11923-2024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45376</v>
      </c>
      <c r="E29" s="1" t="n">
        <v>46320</v>
      </c>
      <c r="F29" t="inlineStr">
        <is>
          <t>VÄRMLANDS LÄN</t>
        </is>
      </c>
      <c r="G29" t="inlineStr">
        <is>
          <t>EDA</t>
        </is>
      </c>
      <c r="I29" t="n">
        <v>4.3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1</v>
      </c>
      <c r="T29" t="n">
        <v>1</v>
      </c>
      <c r="U29" t="n">
        <v>0</v>
      </c>
      <c r="V29" s="2" t="inlineStr">
        <is>
          <t>Tretåig hackspett</t>
        </is>
      </c>
      <c r="W29">
        <f>HYPERLINK("https://klasma.github.io/Logging_1730/artfynd/A 11923-2024 artfynd.xlsx", "A 11923-2024")</f>
        <v/>
      </c>
      <c r="X29">
        <f>HYPERLINK("https://klasma.github.io/Logging_1730/kartor/A 11923-2024 karta.png", "A 11923-2024")</f>
        <v/>
      </c>
      <c r="Y29">
        <f>HYPERLINK("https://klasma.github.io/Logging_1730/kartor_geotiff/A 11923-2024 georefererad karta.tif", "A 11923-2024")</f>
        <v/>
      </c>
      <c r="AA29">
        <f>HYPERLINK("https://klasma.github.io/Logging_1730/klagomål/A 11923-2024 FSC-klagomål.docx", "A 11923-2024")</f>
        <v/>
      </c>
      <c r="AB29">
        <f>HYPERLINK("https://klasma.github.io/Logging_1730/klagomålsmail/A 11923-2024 FSC-klagomål mail.docx", "A 11923-2024")</f>
        <v/>
      </c>
      <c r="AC29">
        <f>HYPERLINK("https://klasma.github.io/Logging_1730/tillsyn/A 11923-2024 tillsynsbegäran.docx", "A 11923-2024")</f>
        <v/>
      </c>
      <c r="AD29">
        <f>HYPERLINK("https://klasma.github.io/Logging_1730/tillsynsmail/A 11923-2024 tillsynsbegäran mail.docx", "A 11923-2024")</f>
        <v/>
      </c>
      <c r="AE29">
        <f>HYPERLINK("https://klasma.github.io/Logging_1730/fåglar/A 11923-2024 prioriterade fågelarter.docx", "A 11923-2024")</f>
        <v/>
      </c>
    </row>
    <row r="30" ht="15" customHeight="1">
      <c r="A30" t="inlineStr">
        <is>
          <t>A 35702-2024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45532</v>
      </c>
      <c r="E30" s="1" t="n">
        <v>46320</v>
      </c>
      <c r="F30" t="inlineStr">
        <is>
          <t>VÄRMLANDS LÄN</t>
        </is>
      </c>
      <c r="G30" t="inlineStr">
        <is>
          <t>EDA</t>
        </is>
      </c>
      <c r="I30" t="n">
        <v>2.2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2</v>
      </c>
      <c r="U30" t="n">
        <v>2</v>
      </c>
      <c r="V30" s="2" t="inlineStr">
        <is>
          <t>Fläcknycklar</t>
        </is>
      </c>
      <c r="W30">
        <f>HYPERLINK("https://klasma.github.io/Logging_1730/artfynd/A 35702-2024 artfynd.xlsx", "A 35702-2024")</f>
        <v/>
      </c>
      <c r="X30">
        <f>HYPERLINK("https://klasma.github.io/Logging_1730/kartor/A 35702-2024 karta.png", "A 35702-2024")</f>
        <v/>
      </c>
      <c r="Y30">
        <f>HYPERLINK("https://klasma.github.io/Logging_1730/kartor_geotiff/A 35702-2024 georefererad karta.tif", "A 35702-2024")</f>
        <v/>
      </c>
      <c r="AA30">
        <f>HYPERLINK("https://klasma.github.io/Logging_1730/klagomål/A 35702-2024 FSC-klagomål.docx", "A 35702-2024")</f>
        <v/>
      </c>
      <c r="AB30">
        <f>HYPERLINK("https://klasma.github.io/Logging_1730/klagomålsmail/A 35702-2024 FSC-klagomål mail.docx", "A 35702-2024")</f>
        <v/>
      </c>
      <c r="AC30">
        <f>HYPERLINK("https://klasma.github.io/Logging_1730/tillsyn/A 35702-2024 tillsynsbegäran.docx", "A 35702-2024")</f>
        <v/>
      </c>
      <c r="AD30">
        <f>HYPERLINK("https://klasma.github.io/Logging_1730/tillsynsmail/A 35702-2024 tillsynsbegäran mail.docx", "A 35702-2024")</f>
        <v/>
      </c>
    </row>
    <row r="31" ht="15" customHeight="1">
      <c r="A31" t="inlineStr">
        <is>
          <t>A 19681-2024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45432</v>
      </c>
      <c r="E31" s="1" t="n">
        <v>46320</v>
      </c>
      <c r="F31" t="inlineStr">
        <is>
          <t>VÄRMLANDS LÄN</t>
        </is>
      </c>
      <c r="G31" t="inlineStr">
        <is>
          <t>EDA</t>
        </is>
      </c>
      <c r="I31" t="n">
        <v>8.699999999999999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1</v>
      </c>
      <c r="U31" t="n">
        <v>0</v>
      </c>
      <c r="V31" s="2" t="inlineStr">
        <is>
          <t>Fällmossa</t>
        </is>
      </c>
      <c r="W31">
        <f>HYPERLINK("https://klasma.github.io/Logging_1730/artfynd/A 19681-2024 artfynd.xlsx", "A 19681-2024")</f>
        <v/>
      </c>
      <c r="X31">
        <f>HYPERLINK("https://klasma.github.io/Logging_1730/kartor/A 19681-2024 karta.png", "A 19681-2024")</f>
        <v/>
      </c>
      <c r="Y31">
        <f>HYPERLINK("https://klasma.github.io/Logging_1730/kartor_geotiff/A 19681-2024 georefererad karta.tif", "A 19681-2024")</f>
        <v/>
      </c>
      <c r="AA31">
        <f>HYPERLINK("https://klasma.github.io/Logging_1730/klagomål/A 19681-2024 FSC-klagomål.docx", "A 19681-2024")</f>
        <v/>
      </c>
      <c r="AB31">
        <f>HYPERLINK("https://klasma.github.io/Logging_1730/klagomålsmail/A 19681-2024 FSC-klagomål mail.docx", "A 19681-2024")</f>
        <v/>
      </c>
      <c r="AC31">
        <f>HYPERLINK("https://klasma.github.io/Logging_1730/tillsyn/A 19681-2024 tillsynsbegäran.docx", "A 19681-2024")</f>
        <v/>
      </c>
      <c r="AD31">
        <f>HYPERLINK("https://klasma.github.io/Logging_1730/tillsynsmail/A 19681-2024 tillsynsbegäran mail.docx", "A 19681-2024")</f>
        <v/>
      </c>
    </row>
    <row r="32" ht="15" customHeight="1">
      <c r="A32" t="inlineStr">
        <is>
          <t>A 59770-2023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45257</v>
      </c>
      <c r="E32" s="1" t="n">
        <v>46320</v>
      </c>
      <c r="F32" t="inlineStr">
        <is>
          <t>VÄRMLANDS LÄN</t>
        </is>
      </c>
      <c r="G32" t="inlineStr">
        <is>
          <t>EDA</t>
        </is>
      </c>
      <c r="I32" t="n">
        <v>1.4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s="2" t="inlineStr">
        <is>
          <t>Vågbandad barkbock</t>
        </is>
      </c>
      <c r="W32">
        <f>HYPERLINK("https://klasma.github.io/Logging_1730/artfynd/A 59770-2023 artfynd.xlsx", "A 59770-2023")</f>
        <v/>
      </c>
      <c r="X32">
        <f>HYPERLINK("https://klasma.github.io/Logging_1730/kartor/A 59770-2023 karta.png", "A 59770-2023")</f>
        <v/>
      </c>
      <c r="Y32">
        <f>HYPERLINK("https://klasma.github.io/Logging_1730/kartor_geotiff/A 59770-2023 georefererad karta.tif", "A 59770-2023")</f>
        <v/>
      </c>
      <c r="AA32">
        <f>HYPERLINK("https://klasma.github.io/Logging_1730/klagomål/A 59770-2023 FSC-klagomål.docx", "A 59770-2023")</f>
        <v/>
      </c>
      <c r="AB32">
        <f>HYPERLINK("https://klasma.github.io/Logging_1730/klagomålsmail/A 59770-2023 FSC-klagomål mail.docx", "A 59770-2023")</f>
        <v/>
      </c>
      <c r="AC32">
        <f>HYPERLINK("https://klasma.github.io/Logging_1730/tillsyn/A 59770-2023 tillsynsbegäran.docx", "A 59770-2023")</f>
        <v/>
      </c>
      <c r="AD32">
        <f>HYPERLINK("https://klasma.github.io/Logging_1730/tillsynsmail/A 59770-2023 tillsynsbegäran mail.docx", "A 59770-2023")</f>
        <v/>
      </c>
    </row>
    <row r="33" ht="15" customHeight="1">
      <c r="A33" t="inlineStr">
        <is>
          <t>A 20898-2025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45777</v>
      </c>
      <c r="E33" s="1" t="n">
        <v>46320</v>
      </c>
      <c r="F33" t="inlineStr">
        <is>
          <t>VÄRMLANDS LÄN</t>
        </is>
      </c>
      <c r="G33" t="inlineStr">
        <is>
          <t>EDA</t>
        </is>
      </c>
      <c r="H33" t="inlineStr">
        <is>
          <t>Bergvik skog väst AB</t>
        </is>
      </c>
      <c r="I33" t="n">
        <v>10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1</v>
      </c>
      <c r="T33" t="n">
        <v>1</v>
      </c>
      <c r="U33" t="n">
        <v>0</v>
      </c>
      <c r="V33" s="2" t="inlineStr">
        <is>
          <t>Grönsångare</t>
        </is>
      </c>
      <c r="W33">
        <f>HYPERLINK("https://klasma.github.io/Logging_1730/artfynd/A 20898-2025 artfynd.xlsx", "A 20898-2025")</f>
        <v/>
      </c>
      <c r="X33">
        <f>HYPERLINK("https://klasma.github.io/Logging_1730/kartor/A 20898-2025 karta.png", "A 20898-2025")</f>
        <v/>
      </c>
      <c r="Y33">
        <f>HYPERLINK("https://klasma.github.io/Logging_1730/kartor_geotiff/A 20898-2025 georefererad karta.tif", "A 20898-2025")</f>
        <v/>
      </c>
      <c r="AA33">
        <f>HYPERLINK("https://klasma.github.io/Logging_1730/klagomål/A 20898-2025 FSC-klagomål.docx", "A 20898-2025")</f>
        <v/>
      </c>
      <c r="AB33">
        <f>HYPERLINK("https://klasma.github.io/Logging_1730/klagomålsmail/A 20898-2025 FSC-klagomål mail.docx", "A 20898-2025")</f>
        <v/>
      </c>
      <c r="AC33">
        <f>HYPERLINK("https://klasma.github.io/Logging_1730/tillsyn/A 20898-2025 tillsynsbegäran.docx", "A 20898-2025")</f>
        <v/>
      </c>
      <c r="AD33">
        <f>HYPERLINK("https://klasma.github.io/Logging_1730/tillsynsmail/A 20898-2025 tillsynsbegäran mail.docx", "A 20898-2025")</f>
        <v/>
      </c>
      <c r="AE33">
        <f>HYPERLINK("https://klasma.github.io/Logging_1730/fåglar/A 20898-2025 prioriterade fågelarter.docx", "A 20898-2025")</f>
        <v/>
      </c>
    </row>
    <row r="34" ht="15" customHeight="1">
      <c r="A34" t="inlineStr">
        <is>
          <t>A 12929-2026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46092</v>
      </c>
      <c r="E34" s="1" t="n">
        <v>46320</v>
      </c>
      <c r="F34" t="inlineStr">
        <is>
          <t>VÄRMLANDS LÄN</t>
        </is>
      </c>
      <c r="G34" t="inlineStr">
        <is>
          <t>EDA</t>
        </is>
      </c>
      <c r="I34" t="n">
        <v>0.7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1</v>
      </c>
      <c r="U34" t="n">
        <v>0</v>
      </c>
      <c r="V34" s="2" t="inlineStr">
        <is>
          <t>Blåsippa</t>
        </is>
      </c>
      <c r="W34">
        <f>HYPERLINK("https://klasma.github.io/Logging_1730/artfynd/A 12929-2026 artfynd.xlsx", "A 12929-2026")</f>
        <v/>
      </c>
      <c r="X34">
        <f>HYPERLINK("https://klasma.github.io/Logging_1730/kartor/A 12929-2026 karta.png", "A 12929-2026")</f>
        <v/>
      </c>
      <c r="Y34">
        <f>HYPERLINK("https://klasma.github.io/Logging_1730/kartor_geotiff/A 12929-2026 georefererad karta.tif", "A 12929-2026")</f>
        <v/>
      </c>
      <c r="AA34">
        <f>HYPERLINK("https://klasma.github.io/Logging_1730/klagomål/A 12929-2026 FSC-klagomål.docx", "A 12929-2026")</f>
        <v/>
      </c>
      <c r="AB34">
        <f>HYPERLINK("https://klasma.github.io/Logging_1730/klagomålsmail/A 12929-2026 FSC-klagomål mail.docx", "A 12929-2026")</f>
        <v/>
      </c>
      <c r="AC34">
        <f>HYPERLINK("https://klasma.github.io/Logging_1730/tillsyn/A 12929-2026 tillsynsbegäran.docx", "A 12929-2026")</f>
        <v/>
      </c>
      <c r="AD34">
        <f>HYPERLINK("https://klasma.github.io/Logging_1730/tillsynsmail/A 12929-2026 tillsynsbegäran mail.docx", "A 12929-2026")</f>
        <v/>
      </c>
    </row>
    <row r="35" ht="15" customHeight="1">
      <c r="A35" t="inlineStr">
        <is>
          <t>A 36451-2026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46269</v>
      </c>
      <c r="E35" s="1" t="n">
        <v>46320</v>
      </c>
      <c r="F35" t="inlineStr">
        <is>
          <t>VÄRMLANDS LÄN</t>
        </is>
      </c>
      <c r="G35" t="inlineStr">
        <is>
          <t>EDA</t>
        </is>
      </c>
      <c r="I35" t="n">
        <v>12.6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1</v>
      </c>
      <c r="T35" t="n">
        <v>1</v>
      </c>
      <c r="U35" t="n">
        <v>0</v>
      </c>
      <c r="V35" s="2" t="inlineStr">
        <is>
          <t>Rödvingetrast</t>
        </is>
      </c>
      <c r="W35">
        <f>HYPERLINK("https://klasma.github.io/Logging_1730/artfynd/A 36451-2026 artfynd.xlsx", "A 36451-2026")</f>
        <v/>
      </c>
      <c r="X35">
        <f>HYPERLINK("https://klasma.github.io/Logging_1730/kartor/A 36451-2026 karta.png", "A 36451-2026")</f>
        <v/>
      </c>
      <c r="Y35">
        <f>HYPERLINK("https://klasma.github.io/Logging_1730/kartor_geotiff/A 36451-2026 georefererad karta.tif", "A 36451-2026")</f>
        <v/>
      </c>
      <c r="AA35">
        <f>HYPERLINK("https://klasma.github.io/Logging_1730/klagomål/A 36451-2026 FSC-klagomål.docx", "A 36451-2026")</f>
        <v/>
      </c>
      <c r="AB35">
        <f>HYPERLINK("https://klasma.github.io/Logging_1730/klagomålsmail/A 36451-2026 FSC-klagomål mail.docx", "A 36451-2026")</f>
        <v/>
      </c>
      <c r="AC35">
        <f>HYPERLINK("https://klasma.github.io/Logging_1730/tillsyn/A 36451-2026 tillsynsbegäran.docx", "A 36451-2026")</f>
        <v/>
      </c>
      <c r="AD35">
        <f>HYPERLINK("https://klasma.github.io/Logging_1730/tillsynsmail/A 36451-2026 tillsynsbegäran mail.docx", "A 36451-2026")</f>
        <v/>
      </c>
      <c r="AE35">
        <f>HYPERLINK("https://klasma.github.io/Logging_1730/fåglar/A 36451-2026 prioriterade fågelarter.docx", "A 36451-2026")</f>
        <v/>
      </c>
    </row>
    <row r="36" ht="15" customHeight="1">
      <c r="A36" t="inlineStr">
        <is>
          <t>A 36509-2026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46269</v>
      </c>
      <c r="E36" s="1" t="n">
        <v>46320</v>
      </c>
      <c r="F36" t="inlineStr">
        <is>
          <t>VÄRMLANDS LÄN</t>
        </is>
      </c>
      <c r="G36" t="inlineStr">
        <is>
          <t>EDA</t>
        </is>
      </c>
      <c r="H36" t="inlineStr">
        <is>
          <t>Bergvik skog väst AB</t>
        </is>
      </c>
      <c r="I36" t="n">
        <v>19.4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</v>
      </c>
      <c r="U36" t="n">
        <v>0</v>
      </c>
      <c r="V36" s="2" t="inlineStr">
        <is>
          <t>Källpraktmossa</t>
        </is>
      </c>
      <c r="W36">
        <f>HYPERLINK("https://klasma.github.io/Logging_1730/artfynd/A 36509-2026 artfynd.xlsx", "A 36509-2026")</f>
        <v/>
      </c>
      <c r="X36">
        <f>HYPERLINK("https://klasma.github.io/Logging_1730/kartor/A 36509-2026 karta.png", "A 36509-2026")</f>
        <v/>
      </c>
      <c r="Y36">
        <f>HYPERLINK("https://klasma.github.io/Logging_1730/kartor_geotiff/A 36509-2026 georefererad karta.tif", "A 36509-2026")</f>
        <v/>
      </c>
      <c r="AA36">
        <f>HYPERLINK("https://klasma.github.io/Logging_1730/klagomål/A 36509-2026 FSC-klagomål.docx", "A 36509-2026")</f>
        <v/>
      </c>
      <c r="AB36">
        <f>HYPERLINK("https://klasma.github.io/Logging_1730/klagomålsmail/A 36509-2026 FSC-klagomål mail.docx", "A 36509-2026")</f>
        <v/>
      </c>
      <c r="AC36">
        <f>HYPERLINK("https://klasma.github.io/Logging_1730/tillsyn/A 36509-2026 tillsynsbegäran.docx", "A 36509-2026")</f>
        <v/>
      </c>
      <c r="AD36">
        <f>HYPERLINK("https://klasma.github.io/Logging_1730/tillsynsmail/A 36509-2026 tillsynsbegäran mail.docx", "A 36509-2026")</f>
        <v/>
      </c>
    </row>
    <row r="37" ht="15" customHeight="1">
      <c r="A37" t="inlineStr">
        <is>
          <t>A 43775-2026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46316</v>
      </c>
      <c r="E37" s="1" t="n">
        <v>46320</v>
      </c>
      <c r="F37" t="inlineStr">
        <is>
          <t>VÄRMLANDS LÄN</t>
        </is>
      </c>
      <c r="G37" t="inlineStr">
        <is>
          <t>EDA</t>
        </is>
      </c>
      <c r="I37" t="n">
        <v>3.5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1</v>
      </c>
      <c r="U37" t="n">
        <v>0</v>
      </c>
      <c r="V37" s="2" t="inlineStr">
        <is>
          <t>Mindre flugsnappare</t>
        </is>
      </c>
      <c r="W37">
        <f>HYPERLINK("https://klasma.github.io/Logging_1730/artfynd/A 43775-2026 artfynd.xlsx", "A 43775-2026")</f>
        <v/>
      </c>
      <c r="X37">
        <f>HYPERLINK("https://klasma.github.io/Logging_1730/kartor/A 43775-2026 karta.png", "A 43775-2026")</f>
        <v/>
      </c>
      <c r="Y37">
        <f>HYPERLINK("https://klasma.github.io/Logging_1730/kartor_geotiff/A 43775-2026 georefererad karta.tif", "A 43775-2026")</f>
        <v/>
      </c>
      <c r="AA37">
        <f>HYPERLINK("https://klasma.github.io/Logging_1730/klagomål/A 43775-2026 FSC-klagomål.docx", "A 43775-2026")</f>
        <v/>
      </c>
      <c r="AB37">
        <f>HYPERLINK("https://klasma.github.io/Logging_1730/klagomålsmail/A 43775-2026 FSC-klagomål mail.docx", "A 43775-2026")</f>
        <v/>
      </c>
      <c r="AC37">
        <f>HYPERLINK("https://klasma.github.io/Logging_1730/tillsyn/A 43775-2026 tillsynsbegäran.docx", "A 43775-2026")</f>
        <v/>
      </c>
      <c r="AD37">
        <f>HYPERLINK("https://klasma.github.io/Logging_1730/tillsynsmail/A 43775-2026 tillsynsbegäran mail.docx", "A 43775-2026")</f>
        <v/>
      </c>
      <c r="AE37">
        <f>HYPERLINK("https://klasma.github.io/Logging_1730/fåglar/A 43775-2026 prioriterade fågelarter.docx", "A 43775-2026")</f>
        <v/>
      </c>
    </row>
    <row r="38" ht="15" customHeight="1">
      <c r="A38" t="inlineStr">
        <is>
          <t>A 10602-2025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45721</v>
      </c>
      <c r="E38" s="1" t="n">
        <v>46320</v>
      </c>
      <c r="F38" t="inlineStr">
        <is>
          <t>VÄRMLANDS LÄN</t>
        </is>
      </c>
      <c r="G38" t="inlineStr">
        <is>
          <t>EDA</t>
        </is>
      </c>
      <c r="I38" t="n">
        <v>1.8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</v>
      </c>
      <c r="U38" t="n">
        <v>1</v>
      </c>
      <c r="V38" s="2" t="inlineStr">
        <is>
          <t>Fläcknycklar</t>
        </is>
      </c>
      <c r="W38">
        <f>HYPERLINK("https://klasma.github.io/Logging_1730/artfynd/A 10602-2025 artfynd.xlsx", "A 10602-2025")</f>
        <v/>
      </c>
      <c r="X38">
        <f>HYPERLINK("https://klasma.github.io/Logging_1730/kartor/A 10602-2025 karta.png", "A 10602-2025")</f>
        <v/>
      </c>
      <c r="Y38">
        <f>HYPERLINK("https://klasma.github.io/Logging_1730/kartor_geotiff/A 10602-2025 georefererad karta.tif", "A 10602-2025")</f>
        <v/>
      </c>
      <c r="AA38">
        <f>HYPERLINK("https://klasma.github.io/Logging_1730/klagomål/A 10602-2025 FSC-klagomål.docx", "A 10602-2025")</f>
        <v/>
      </c>
      <c r="AB38">
        <f>HYPERLINK("https://klasma.github.io/Logging_1730/klagomålsmail/A 10602-2025 FSC-klagomål mail.docx", "A 10602-2025")</f>
        <v/>
      </c>
      <c r="AC38">
        <f>HYPERLINK("https://klasma.github.io/Logging_1730/tillsyn/A 10602-2025 tillsynsbegäran.docx", "A 10602-2025")</f>
        <v/>
      </c>
      <c r="AD38">
        <f>HYPERLINK("https://klasma.github.io/Logging_1730/tillsynsmail/A 10602-2025 tillsynsbegäran mail.docx", "A 10602-2025")</f>
        <v/>
      </c>
    </row>
    <row r="39" ht="15" customHeight="1">
      <c r="A39" t="inlineStr">
        <is>
          <t>A 56783-2023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45244</v>
      </c>
      <c r="E39" s="1" t="n">
        <v>46320</v>
      </c>
      <c r="F39" t="inlineStr">
        <is>
          <t>VÄRMLANDS LÄN</t>
        </is>
      </c>
      <c r="G39" t="inlineStr">
        <is>
          <t>EDA</t>
        </is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</v>
      </c>
      <c r="U39" t="n">
        <v>0</v>
      </c>
      <c r="V39" s="2" t="inlineStr">
        <is>
          <t>Gröngöling</t>
        </is>
      </c>
      <c r="W39">
        <f>HYPERLINK("https://klasma.github.io/Logging_1730/artfynd/A 56783-2023 artfynd.xlsx", "A 56783-2023")</f>
        <v/>
      </c>
      <c r="X39">
        <f>HYPERLINK("https://klasma.github.io/Logging_1730/kartor/A 56783-2023 karta.png", "A 56783-2023")</f>
        <v/>
      </c>
      <c r="Y39">
        <f>HYPERLINK("https://klasma.github.io/Logging_1730/kartor_geotiff/A 56783-2023 georefererad karta.tif", "A 56783-2023")</f>
        <v/>
      </c>
      <c r="AA39">
        <f>HYPERLINK("https://klasma.github.io/Logging_1730/klagomål/A 56783-2023 FSC-klagomål.docx", "A 56783-2023")</f>
        <v/>
      </c>
      <c r="AB39">
        <f>HYPERLINK("https://klasma.github.io/Logging_1730/klagomålsmail/A 56783-2023 FSC-klagomål mail.docx", "A 56783-2023")</f>
        <v/>
      </c>
      <c r="AC39">
        <f>HYPERLINK("https://klasma.github.io/Logging_1730/tillsyn/A 56783-2023 tillsynsbegäran.docx", "A 56783-2023")</f>
        <v/>
      </c>
      <c r="AD39">
        <f>HYPERLINK("https://klasma.github.io/Logging_1730/tillsynsmail/A 56783-2023 tillsynsbegäran mail.docx", "A 56783-2023")</f>
        <v/>
      </c>
    </row>
    <row r="40" ht="15" customHeight="1">
      <c r="A40" t="inlineStr">
        <is>
          <t>S 329-2022</t>
        </is>
      </c>
      <c r="B40" t="inlineStr">
        <is>
          <t>samrådsanmälan</t>
        </is>
      </c>
      <c r="C40" t="inlineStr">
        <is>
          <t>Skogsgödsling</t>
        </is>
      </c>
      <c r="D40" s="1" t="n">
        <v>44579</v>
      </c>
      <c r="E40" s="1" t="n">
        <v>46320</v>
      </c>
      <c r="F40" t="inlineStr">
        <is>
          <t>VÄRMLANDS LÄN</t>
        </is>
      </c>
      <c r="G40" t="inlineStr">
        <is>
          <t>EDA</t>
        </is>
      </c>
      <c r="H40" t="inlineStr">
        <is>
          <t>Bergvik skog väst AB</t>
        </is>
      </c>
      <c r="I40" t="n">
        <v>27.5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</v>
      </c>
      <c r="U40" t="n">
        <v>1</v>
      </c>
      <c r="V40" s="2" t="inlineStr">
        <is>
          <t>Fläcknycklar</t>
        </is>
      </c>
      <c r="W40">
        <f>HYPERLINK("https://klasma.github.io/Logging_1730/artfynd/S 329-2022 artfynd.xlsx", "S 329-2022")</f>
        <v/>
      </c>
      <c r="X40">
        <f>HYPERLINK("https://klasma.github.io/Logging_1730/kartor/S 329-2022 karta.png", "S 329-2022")</f>
        <v/>
      </c>
      <c r="Y40">
        <f>HYPERLINK("https://klasma.github.io/Logging_1730/kartor_geotiff/S 329-2022 georefererad karta.tif", "S 329-2022")</f>
        <v/>
      </c>
      <c r="AA40">
        <f>HYPERLINK("https://klasma.github.io/Logging_1730/klagomål/S 329-2022 FSC-klagomål.docx", "S 329-2022")</f>
        <v/>
      </c>
      <c r="AB40">
        <f>HYPERLINK("https://klasma.github.io/Logging_1730/klagomålsmail/S 329-2022 FSC-klagomål mail.docx", "S 329-2022")</f>
        <v/>
      </c>
      <c r="AC40">
        <f>HYPERLINK("https://klasma.github.io/Logging_1730/tillsyn/S 329-2022 tillsynsbegäran.docx", "S 329-2022")</f>
        <v/>
      </c>
      <c r="AD40">
        <f>HYPERLINK("https://klasma.github.io/Logging_1730/tillsynsmail/S 329-2022 tillsynsbegäran mail.docx", "S 329-2022")</f>
        <v/>
      </c>
    </row>
    <row r="41" ht="15" customHeight="1">
      <c r="A41" t="inlineStr">
        <is>
          <t>A 56124-2022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44889</v>
      </c>
      <c r="E41" s="1" t="n">
        <v>46320</v>
      </c>
      <c r="F41" t="inlineStr">
        <is>
          <t>VÄRMLANDS LÄN</t>
        </is>
      </c>
      <c r="G41" t="inlineStr">
        <is>
          <t>EDA</t>
        </is>
      </c>
      <c r="I41" t="n">
        <v>0.6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s="2" t="inlineStr"/>
    </row>
    <row r="42" ht="15" customHeight="1">
      <c r="A42" t="inlineStr">
        <is>
          <t>A 17802-2022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44683</v>
      </c>
      <c r="E42" s="1" t="n">
        <v>46320</v>
      </c>
      <c r="F42" t="inlineStr">
        <is>
          <t>VÄRMLANDS LÄN</t>
        </is>
      </c>
      <c r="G42" t="inlineStr">
        <is>
          <t>EDA</t>
        </is>
      </c>
      <c r="I42" t="n">
        <v>4.4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s="2" t="inlineStr"/>
    </row>
    <row r="43" ht="15" customHeight="1">
      <c r="A43" t="inlineStr">
        <is>
          <t>A 37613-2022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44810</v>
      </c>
      <c r="E43" s="1" t="n">
        <v>46320</v>
      </c>
      <c r="F43" t="inlineStr">
        <is>
          <t>VÄRMLANDS LÄN</t>
        </is>
      </c>
      <c r="G43" t="inlineStr">
        <is>
          <t>EDA</t>
        </is>
      </c>
      <c r="I43" t="n">
        <v>1.2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s="2" t="inlineStr"/>
    </row>
    <row r="44" ht="15" customHeight="1">
      <c r="A44" t="inlineStr">
        <is>
          <t>A 68550-2021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44529</v>
      </c>
      <c r="E44" s="1" t="n">
        <v>46320</v>
      </c>
      <c r="F44" t="inlineStr">
        <is>
          <t>VÄRMLANDS LÄN</t>
        </is>
      </c>
      <c r="G44" t="inlineStr">
        <is>
          <t>EDA</t>
        </is>
      </c>
      <c r="I44" t="n">
        <v>2.4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s="2" t="inlineStr"/>
    </row>
    <row r="45" ht="15" customHeight="1">
      <c r="A45" t="inlineStr">
        <is>
          <t>A 22150-2022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44712</v>
      </c>
      <c r="E45" s="1" t="n">
        <v>46320</v>
      </c>
      <c r="F45" t="inlineStr">
        <is>
          <t>VÄRMLANDS LÄN</t>
        </is>
      </c>
      <c r="G45" t="inlineStr">
        <is>
          <t>EDA</t>
        </is>
      </c>
      <c r="I45" t="n">
        <v>6.3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s="2" t="inlineStr"/>
    </row>
    <row r="46" ht="15" customHeight="1">
      <c r="A46" t="inlineStr">
        <is>
          <t>A 47045-2022</t>
        </is>
      </c>
      <c r="B46" t="inlineStr">
        <is>
          <t>avverkningsanmälan</t>
        </is>
      </c>
      <c r="C46" t="inlineStr">
        <is>
          <t>Avverkning för annat ändamål</t>
        </is>
      </c>
      <c r="D46" s="1" t="n">
        <v>44852</v>
      </c>
      <c r="E46" s="1" t="n">
        <v>46320</v>
      </c>
      <c r="F46" t="inlineStr">
        <is>
          <t>VÄRMLANDS LÄN</t>
        </is>
      </c>
      <c r="G46" t="inlineStr">
        <is>
          <t>EDA</t>
        </is>
      </c>
      <c r="I46" t="n">
        <v>0.6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s="2" t="inlineStr"/>
    </row>
    <row r="47" ht="15" customHeight="1">
      <c r="A47" t="inlineStr">
        <is>
          <t>A 55956-2022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44889</v>
      </c>
      <c r="E47" s="1" t="n">
        <v>46320</v>
      </c>
      <c r="F47" t="inlineStr">
        <is>
          <t>VÄRMLANDS LÄN</t>
        </is>
      </c>
      <c r="G47" t="inlineStr">
        <is>
          <t>EDA</t>
        </is>
      </c>
      <c r="I47" t="n">
        <v>0.7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s="2" t="inlineStr"/>
    </row>
    <row r="48" ht="15" customHeight="1">
      <c r="A48" t="inlineStr">
        <is>
          <t>A 7886-2022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44608</v>
      </c>
      <c r="E48" s="1" t="n">
        <v>46320</v>
      </c>
      <c r="F48" t="inlineStr">
        <is>
          <t>VÄRMLANDS LÄN</t>
        </is>
      </c>
      <c r="G48" t="inlineStr">
        <is>
          <t>EDA</t>
        </is>
      </c>
      <c r="H48" t="inlineStr">
        <is>
          <t>Kyrkan</t>
        </is>
      </c>
      <c r="I48" t="n">
        <v>1.2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s="2" t="inlineStr"/>
    </row>
    <row r="49" ht="15" customHeight="1">
      <c r="A49" t="inlineStr">
        <is>
          <t>A 3029-2022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44582</v>
      </c>
      <c r="E49" s="1" t="n">
        <v>46320</v>
      </c>
      <c r="F49" t="inlineStr">
        <is>
          <t>VÄRMLANDS LÄN</t>
        </is>
      </c>
      <c r="G49" t="inlineStr">
        <is>
          <t>EDA</t>
        </is>
      </c>
      <c r="I49" t="n">
        <v>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s="2" t="inlineStr"/>
    </row>
    <row r="50" ht="15" customHeight="1">
      <c r="A50" t="inlineStr">
        <is>
          <t>A 3030-2022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44582</v>
      </c>
      <c r="E50" s="1" t="n">
        <v>46320</v>
      </c>
      <c r="F50" t="inlineStr">
        <is>
          <t>VÄRMLANDS LÄN</t>
        </is>
      </c>
      <c r="G50" t="inlineStr">
        <is>
          <t>EDA</t>
        </is>
      </c>
      <c r="I50" t="n">
        <v>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s="2" t="inlineStr"/>
    </row>
    <row r="51" ht="15" customHeight="1">
      <c r="A51" t="inlineStr">
        <is>
          <t>A 46718-2022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44851</v>
      </c>
      <c r="E51" s="1" t="n">
        <v>46320</v>
      </c>
      <c r="F51" t="inlineStr">
        <is>
          <t>VÄRMLANDS LÄN</t>
        </is>
      </c>
      <c r="G51" t="inlineStr">
        <is>
          <t>EDA</t>
        </is>
      </c>
      <c r="I51" t="n">
        <v>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s="2" t="inlineStr"/>
    </row>
    <row r="52" ht="15" customHeight="1">
      <c r="A52" t="inlineStr">
        <is>
          <t>A 70861-2021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44538</v>
      </c>
      <c r="E52" s="1" t="n">
        <v>46320</v>
      </c>
      <c r="F52" t="inlineStr">
        <is>
          <t>VÄRMLANDS LÄN</t>
        </is>
      </c>
      <c r="G52" t="inlineStr">
        <is>
          <t>EDA</t>
        </is>
      </c>
      <c r="I52" t="n">
        <v>0.6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s="2" t="inlineStr"/>
    </row>
    <row r="53" ht="15" customHeight="1">
      <c r="A53" t="inlineStr">
        <is>
          <t>A 26810-2022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44740</v>
      </c>
      <c r="E53" s="1" t="n">
        <v>46320</v>
      </c>
      <c r="F53" t="inlineStr">
        <is>
          <t>VÄRMLANDS LÄN</t>
        </is>
      </c>
      <c r="G53" t="inlineStr">
        <is>
          <t>EDA</t>
        </is>
      </c>
      <c r="I53" t="n">
        <v>1.2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s="2" t="inlineStr"/>
    </row>
    <row r="54" ht="15" customHeight="1">
      <c r="A54" t="inlineStr">
        <is>
          <t>A 43725-2022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44837</v>
      </c>
      <c r="E54" s="1" t="n">
        <v>46320</v>
      </c>
      <c r="F54" t="inlineStr">
        <is>
          <t>VÄRMLANDS LÄN</t>
        </is>
      </c>
      <c r="G54" t="inlineStr">
        <is>
          <t>EDA</t>
        </is>
      </c>
      <c r="I54" t="n">
        <v>7.8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s="2" t="inlineStr"/>
    </row>
    <row r="55" ht="15" customHeight="1">
      <c r="A55" t="inlineStr">
        <is>
          <t>A 38833-2022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44816</v>
      </c>
      <c r="E55" s="1" t="n">
        <v>46320</v>
      </c>
      <c r="F55" t="inlineStr">
        <is>
          <t>VÄRMLANDS LÄN</t>
        </is>
      </c>
      <c r="G55" t="inlineStr">
        <is>
          <t>EDA</t>
        </is>
      </c>
      <c r="I55" t="n">
        <v>0.9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inlineStr"/>
    </row>
    <row r="56" ht="15" customHeight="1">
      <c r="A56" t="inlineStr">
        <is>
          <t>A 22163-2022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44712</v>
      </c>
      <c r="E56" s="1" t="n">
        <v>46320</v>
      </c>
      <c r="F56" t="inlineStr">
        <is>
          <t>VÄRMLANDS LÄN</t>
        </is>
      </c>
      <c r="G56" t="inlineStr">
        <is>
          <t>EDA</t>
        </is>
      </c>
      <c r="I56" t="n">
        <v>0.8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  <row r="57" ht="15" customHeight="1">
      <c r="A57" t="inlineStr">
        <is>
          <t>A 69797-2021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44532</v>
      </c>
      <c r="E57" s="1" t="n">
        <v>46320</v>
      </c>
      <c r="F57" t="inlineStr">
        <is>
          <t>VÄRMLANDS LÄN</t>
        </is>
      </c>
      <c r="G57" t="inlineStr">
        <is>
          <t>EDA</t>
        </is>
      </c>
      <c r="I57" t="n">
        <v>3.6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  <row r="58" ht="15" customHeight="1">
      <c r="A58" t="inlineStr">
        <is>
          <t>A 52530-2022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44874</v>
      </c>
      <c r="E58" s="1" t="n">
        <v>46320</v>
      </c>
      <c r="F58" t="inlineStr">
        <is>
          <t>VÄRMLANDS LÄN</t>
        </is>
      </c>
      <c r="G58" t="inlineStr">
        <is>
          <t>EDA</t>
        </is>
      </c>
      <c r="I58" t="n">
        <v>1.6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68445-2021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44529</v>
      </c>
      <c r="E59" s="1" t="n">
        <v>46320</v>
      </c>
      <c r="F59" t="inlineStr">
        <is>
          <t>VÄRMLANDS LÄN</t>
        </is>
      </c>
      <c r="G59" t="inlineStr">
        <is>
          <t>EDA</t>
        </is>
      </c>
      <c r="I59" t="n">
        <v>0.7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3753-2022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44586</v>
      </c>
      <c r="E60" s="1" t="n">
        <v>46320</v>
      </c>
      <c r="F60" t="inlineStr">
        <is>
          <t>VÄRMLANDS LÄN</t>
        </is>
      </c>
      <c r="G60" t="inlineStr">
        <is>
          <t>EDA</t>
        </is>
      </c>
      <c r="I60" t="n">
        <v>2.4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23807-2022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44722</v>
      </c>
      <c r="E61" s="1" t="n">
        <v>46320</v>
      </c>
      <c r="F61" t="inlineStr">
        <is>
          <t>VÄRMLANDS LÄN</t>
        </is>
      </c>
      <c r="G61" t="inlineStr">
        <is>
          <t>EDA</t>
        </is>
      </c>
      <c r="I61" t="n">
        <v>5.5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18246-2022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44685</v>
      </c>
      <c r="E62" s="1" t="n">
        <v>46320</v>
      </c>
      <c r="F62" t="inlineStr">
        <is>
          <t>VÄRMLANDS LÄN</t>
        </is>
      </c>
      <c r="G62" t="inlineStr">
        <is>
          <t>EDA</t>
        </is>
      </c>
      <c r="I62" t="n">
        <v>0.8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37538-2022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44809</v>
      </c>
      <c r="E63" s="1" t="n">
        <v>46320</v>
      </c>
      <c r="F63" t="inlineStr">
        <is>
          <t>VÄRMLANDS LÄN</t>
        </is>
      </c>
      <c r="G63" t="inlineStr">
        <is>
          <t>EDA</t>
        </is>
      </c>
      <c r="I63" t="n">
        <v>1.1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48314-2022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44858</v>
      </c>
      <c r="E64" s="1" t="n">
        <v>46320</v>
      </c>
      <c r="F64" t="inlineStr">
        <is>
          <t>VÄRMLANDS LÄN</t>
        </is>
      </c>
      <c r="G64" t="inlineStr">
        <is>
          <t>EDA</t>
        </is>
      </c>
      <c r="I64" t="n">
        <v>3.5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16334-2022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44670</v>
      </c>
      <c r="E65" s="1" t="n">
        <v>46320</v>
      </c>
      <c r="F65" t="inlineStr">
        <is>
          <t>VÄRMLANDS LÄN</t>
        </is>
      </c>
      <c r="G65" t="inlineStr">
        <is>
          <t>EDA</t>
        </is>
      </c>
      <c r="I65" t="n">
        <v>0.8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15380-2022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44659</v>
      </c>
      <c r="E66" s="1" t="n">
        <v>46320</v>
      </c>
      <c r="F66" t="inlineStr">
        <is>
          <t>VÄRMLANDS LÄN</t>
        </is>
      </c>
      <c r="G66" t="inlineStr">
        <is>
          <t>EDA</t>
        </is>
      </c>
      <c r="I66" t="n">
        <v>2.3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26786-2022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44740</v>
      </c>
      <c r="E67" s="1" t="n">
        <v>46320</v>
      </c>
      <c r="F67" t="inlineStr">
        <is>
          <t>VÄRMLANDS LÄN</t>
        </is>
      </c>
      <c r="G67" t="inlineStr">
        <is>
          <t>EDA</t>
        </is>
      </c>
      <c r="I67" t="n">
        <v>0.9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64202-2021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44510</v>
      </c>
      <c r="E68" s="1" t="n">
        <v>46320</v>
      </c>
      <c r="F68" t="inlineStr">
        <is>
          <t>VÄRMLANDS LÄN</t>
        </is>
      </c>
      <c r="G68" t="inlineStr">
        <is>
          <t>EDA</t>
        </is>
      </c>
      <c r="I68" t="n">
        <v>0.6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25686-2022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44733</v>
      </c>
      <c r="E69" s="1" t="n">
        <v>46320</v>
      </c>
      <c r="F69" t="inlineStr">
        <is>
          <t>VÄRMLANDS LÄN</t>
        </is>
      </c>
      <c r="G69" t="inlineStr">
        <is>
          <t>EDA</t>
        </is>
      </c>
      <c r="I69" t="n">
        <v>2.4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47421-2022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44853</v>
      </c>
      <c r="E70" s="1" t="n">
        <v>46320</v>
      </c>
      <c r="F70" t="inlineStr">
        <is>
          <t>VÄRMLANDS LÄN</t>
        </is>
      </c>
      <c r="G70" t="inlineStr">
        <is>
          <t>EDA</t>
        </is>
      </c>
      <c r="I70" t="n">
        <v>8.300000000000001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74085-2021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44557</v>
      </c>
      <c r="E71" s="1" t="n">
        <v>46320</v>
      </c>
      <c r="F71" t="inlineStr">
        <is>
          <t>VÄRMLANDS LÄN</t>
        </is>
      </c>
      <c r="G71" t="inlineStr">
        <is>
          <t>EDA</t>
        </is>
      </c>
      <c r="H71" t="inlineStr">
        <is>
          <t>Övriga Aktiebolag</t>
        </is>
      </c>
      <c r="I71" t="n">
        <v>4.8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72722-2021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44546</v>
      </c>
      <c r="E72" s="1" t="n">
        <v>46320</v>
      </c>
      <c r="F72" t="inlineStr">
        <is>
          <t>VÄRMLANDS LÄN</t>
        </is>
      </c>
      <c r="G72" t="inlineStr">
        <is>
          <t>EDA</t>
        </is>
      </c>
      <c r="I72" t="n">
        <v>0.3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39194-2022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44817</v>
      </c>
      <c r="E73" s="1" t="n">
        <v>46320</v>
      </c>
      <c r="F73" t="inlineStr">
        <is>
          <t>VÄRMLANDS LÄN</t>
        </is>
      </c>
      <c r="G73" t="inlineStr">
        <is>
          <t>EDA</t>
        </is>
      </c>
      <c r="I73" t="n">
        <v>0.6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8943-2022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44614</v>
      </c>
      <c r="E74" s="1" t="n">
        <v>46320</v>
      </c>
      <c r="F74" t="inlineStr">
        <is>
          <t>VÄRMLANDS LÄN</t>
        </is>
      </c>
      <c r="G74" t="inlineStr">
        <is>
          <t>EDA</t>
        </is>
      </c>
      <c r="I74" t="n">
        <v>2.1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52391-2022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44874</v>
      </c>
      <c r="E75" s="1" t="n">
        <v>46320</v>
      </c>
      <c r="F75" t="inlineStr">
        <is>
          <t>VÄRMLANDS LÄN</t>
        </is>
      </c>
      <c r="G75" t="inlineStr">
        <is>
          <t>EDA</t>
        </is>
      </c>
      <c r="I75" t="n">
        <v>1.2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52410-2022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44874</v>
      </c>
      <c r="E76" s="1" t="n">
        <v>46320</v>
      </c>
      <c r="F76" t="inlineStr">
        <is>
          <t>VÄRMLANDS LÄN</t>
        </is>
      </c>
      <c r="G76" t="inlineStr">
        <is>
          <t>EDA</t>
        </is>
      </c>
      <c r="I76" t="n">
        <v>3.8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54617-2022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44883</v>
      </c>
      <c r="E77" s="1" t="n">
        <v>46320</v>
      </c>
      <c r="F77" t="inlineStr">
        <is>
          <t>VÄRMLANDS LÄN</t>
        </is>
      </c>
      <c r="G77" t="inlineStr">
        <is>
          <t>EDA</t>
        </is>
      </c>
      <c r="I77" t="n">
        <v>2.7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65060-2021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44515</v>
      </c>
      <c r="E78" s="1" t="n">
        <v>46320</v>
      </c>
      <c r="F78" t="inlineStr">
        <is>
          <t>VÄRMLANDS LÄN</t>
        </is>
      </c>
      <c r="G78" t="inlineStr">
        <is>
          <t>EDA</t>
        </is>
      </c>
      <c r="H78" t="inlineStr">
        <is>
          <t>Bergvik skog väst AB</t>
        </is>
      </c>
      <c r="I78" t="n">
        <v>11.5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35577-2022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44799</v>
      </c>
      <c r="E79" s="1" t="n">
        <v>46320</v>
      </c>
      <c r="F79" t="inlineStr">
        <is>
          <t>VÄRMLANDS LÄN</t>
        </is>
      </c>
      <c r="G79" t="inlineStr">
        <is>
          <t>EDA</t>
        </is>
      </c>
      <c r="I79" t="n">
        <v>6.4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54133-2022</t>
        </is>
      </c>
      <c r="B80" t="inlineStr">
        <is>
          <t>avverkningsanmälan</t>
        </is>
      </c>
      <c r="C80" t="inlineStr">
        <is>
          <t>Avverkning för annat ändamål</t>
        </is>
      </c>
      <c r="D80" s="1" t="n">
        <v>44881</v>
      </c>
      <c r="E80" s="1" t="n">
        <v>46320</v>
      </c>
      <c r="F80" t="inlineStr">
        <is>
          <t>VÄRMLANDS LÄN</t>
        </is>
      </c>
      <c r="G80" t="inlineStr">
        <is>
          <t>EDA</t>
        </is>
      </c>
      <c r="I80" t="n">
        <v>0.2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54137-2022</t>
        </is>
      </c>
      <c r="B81" t="inlineStr">
        <is>
          <t>avverkningsanmälan</t>
        </is>
      </c>
      <c r="C81" t="inlineStr">
        <is>
          <t>Avverkning för annat ändamål</t>
        </is>
      </c>
      <c r="D81" s="1" t="n">
        <v>44881</v>
      </c>
      <c r="E81" s="1" t="n">
        <v>46320</v>
      </c>
      <c r="F81" t="inlineStr">
        <is>
          <t>VÄRMLANDS LÄN</t>
        </is>
      </c>
      <c r="G81" t="inlineStr">
        <is>
          <t>EDA</t>
        </is>
      </c>
      <c r="I81" t="n">
        <v>0.1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4096-2022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44588</v>
      </c>
      <c r="E82" s="1" t="n">
        <v>46320</v>
      </c>
      <c r="F82" t="inlineStr">
        <is>
          <t>VÄRMLANDS LÄN</t>
        </is>
      </c>
      <c r="G82" t="inlineStr">
        <is>
          <t>EDA</t>
        </is>
      </c>
      <c r="I82" t="n">
        <v>4.4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3028-2022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44581</v>
      </c>
      <c r="E83" s="1" t="n">
        <v>46320</v>
      </c>
      <c r="F83" t="inlineStr">
        <is>
          <t>VÄRMLANDS LÄN</t>
        </is>
      </c>
      <c r="G83" t="inlineStr">
        <is>
          <t>EDA</t>
        </is>
      </c>
      <c r="I83" t="n">
        <v>4.8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51101-2022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44868</v>
      </c>
      <c r="E84" s="1" t="n">
        <v>46320</v>
      </c>
      <c r="F84" t="inlineStr">
        <is>
          <t>VÄRMLANDS LÄN</t>
        </is>
      </c>
      <c r="G84" t="inlineStr">
        <is>
          <t>EDA</t>
        </is>
      </c>
      <c r="I84" t="n">
        <v>9.9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21323-2022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44705</v>
      </c>
      <c r="E85" s="1" t="n">
        <v>46320</v>
      </c>
      <c r="F85" t="inlineStr">
        <is>
          <t>VÄRMLANDS LÄN</t>
        </is>
      </c>
      <c r="G85" t="inlineStr">
        <is>
          <t>EDA</t>
        </is>
      </c>
      <c r="I85" t="n">
        <v>0.7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1449-2022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44573</v>
      </c>
      <c r="E86" s="1" t="n">
        <v>46320</v>
      </c>
      <c r="F86" t="inlineStr">
        <is>
          <t>VÄRMLANDS LÄN</t>
        </is>
      </c>
      <c r="G86" t="inlineStr">
        <is>
          <t>EDA</t>
        </is>
      </c>
      <c r="I86" t="n">
        <v>1.1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74424-2021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44560</v>
      </c>
      <c r="E87" s="1" t="n">
        <v>46320</v>
      </c>
      <c r="F87" t="inlineStr">
        <is>
          <t>VÄRMLANDS LÄN</t>
        </is>
      </c>
      <c r="G87" t="inlineStr">
        <is>
          <t>EDA</t>
        </is>
      </c>
      <c r="H87" t="inlineStr">
        <is>
          <t>Bergvik skog väst AB</t>
        </is>
      </c>
      <c r="I87" t="n">
        <v>0.7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8945-2022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44614</v>
      </c>
      <c r="E88" s="1" t="n">
        <v>46320</v>
      </c>
      <c r="F88" t="inlineStr">
        <is>
          <t>VÄRMLANDS LÄN</t>
        </is>
      </c>
      <c r="G88" t="inlineStr">
        <is>
          <t>EDA</t>
        </is>
      </c>
      <c r="I88" t="n">
        <v>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22719-2022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44714</v>
      </c>
      <c r="E89" s="1" t="n">
        <v>46320</v>
      </c>
      <c r="F89" t="inlineStr">
        <is>
          <t>VÄRMLANDS LÄN</t>
        </is>
      </c>
      <c r="G89" t="inlineStr">
        <is>
          <t>EDA</t>
        </is>
      </c>
      <c r="I89" t="n">
        <v>1.8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53294-2022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44877</v>
      </c>
      <c r="E90" s="1" t="n">
        <v>46320</v>
      </c>
      <c r="F90" t="inlineStr">
        <is>
          <t>VÄRMLANDS LÄN</t>
        </is>
      </c>
      <c r="G90" t="inlineStr">
        <is>
          <t>EDA</t>
        </is>
      </c>
      <c r="I90" t="n">
        <v>0.2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47180-2022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44852</v>
      </c>
      <c r="E91" s="1" t="n">
        <v>46320</v>
      </c>
      <c r="F91" t="inlineStr">
        <is>
          <t>VÄRMLANDS LÄN</t>
        </is>
      </c>
      <c r="G91" t="inlineStr">
        <is>
          <t>EDA</t>
        </is>
      </c>
      <c r="I91" t="n">
        <v>1.3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15497-2022</t>
        </is>
      </c>
      <c r="B92" t="inlineStr">
        <is>
          <t>avverkningsanmälan</t>
        </is>
      </c>
      <c r="C92" t="inlineStr">
        <is>
          <t>Avverkning för annat ändamål</t>
        </is>
      </c>
      <c r="D92" s="1" t="n">
        <v>44662</v>
      </c>
      <c r="E92" s="1" t="n">
        <v>46320</v>
      </c>
      <c r="F92" t="inlineStr">
        <is>
          <t>VÄRMLANDS LÄN</t>
        </is>
      </c>
      <c r="G92" t="inlineStr">
        <is>
          <t>EDA</t>
        </is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3285-2022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44584</v>
      </c>
      <c r="E93" s="1" t="n">
        <v>46320</v>
      </c>
      <c r="F93" t="inlineStr">
        <is>
          <t>VÄRMLANDS LÄN</t>
        </is>
      </c>
      <c r="G93" t="inlineStr">
        <is>
          <t>EDA</t>
        </is>
      </c>
      <c r="I93" t="n">
        <v>2.4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12998-2022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44643</v>
      </c>
      <c r="E94" s="1" t="n">
        <v>46320</v>
      </c>
      <c r="F94" t="inlineStr">
        <is>
          <t>VÄRMLANDS LÄN</t>
        </is>
      </c>
      <c r="G94" t="inlineStr">
        <is>
          <t>EDA</t>
        </is>
      </c>
      <c r="I94" t="n">
        <v>0.5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8944-2022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44614</v>
      </c>
      <c r="E95" s="1" t="n">
        <v>46320</v>
      </c>
      <c r="F95" t="inlineStr">
        <is>
          <t>VÄRMLANDS LÄN</t>
        </is>
      </c>
      <c r="G95" t="inlineStr">
        <is>
          <t>EDA</t>
        </is>
      </c>
      <c r="I95" t="n">
        <v>0.7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24456-2022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44726</v>
      </c>
      <c r="E96" s="1" t="n">
        <v>46320</v>
      </c>
      <c r="F96" t="inlineStr">
        <is>
          <t>VÄRMLANDS LÄN</t>
        </is>
      </c>
      <c r="G96" t="inlineStr">
        <is>
          <t>EDA</t>
        </is>
      </c>
      <c r="I96" t="n">
        <v>2.5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39664-2022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44818</v>
      </c>
      <c r="E97" s="1" t="n">
        <v>46320</v>
      </c>
      <c r="F97" t="inlineStr">
        <is>
          <t>VÄRMLANDS LÄN</t>
        </is>
      </c>
      <c r="G97" t="inlineStr">
        <is>
          <t>EDA</t>
        </is>
      </c>
      <c r="I97" t="n">
        <v>0.9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46703-2024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45583</v>
      </c>
      <c r="E98" s="1" t="n">
        <v>46320</v>
      </c>
      <c r="F98" t="inlineStr">
        <is>
          <t>VÄRMLANDS LÄN</t>
        </is>
      </c>
      <c r="G98" t="inlineStr">
        <is>
          <t>EDA</t>
        </is>
      </c>
      <c r="I98" t="n">
        <v>3.9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39823-2024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45553</v>
      </c>
      <c r="E99" s="1" t="n">
        <v>46320</v>
      </c>
      <c r="F99" t="inlineStr">
        <is>
          <t>VÄRMLANDS LÄN</t>
        </is>
      </c>
      <c r="G99" t="inlineStr">
        <is>
          <t>EDA</t>
        </is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38104-2023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45161</v>
      </c>
      <c r="E100" s="1" t="n">
        <v>46320</v>
      </c>
      <c r="F100" t="inlineStr">
        <is>
          <t>VÄRMLANDS LÄN</t>
        </is>
      </c>
      <c r="G100" t="inlineStr">
        <is>
          <t>EDA</t>
        </is>
      </c>
      <c r="I100" t="n">
        <v>0.6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57311-2022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44896</v>
      </c>
      <c r="E101" s="1" t="n">
        <v>46320</v>
      </c>
      <c r="F101" t="inlineStr">
        <is>
          <t>VÄRMLANDS LÄN</t>
        </is>
      </c>
      <c r="G101" t="inlineStr">
        <is>
          <t>EDA</t>
        </is>
      </c>
      <c r="I101" t="n">
        <v>0.9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17799-2022</t>
        </is>
      </c>
      <c r="B102" t="inlineStr">
        <is>
          <t>avverkningsanmälan</t>
        </is>
      </c>
      <c r="C102" t="inlineStr">
        <is>
          <t>Avverkning för annat ändamål</t>
        </is>
      </c>
      <c r="D102" s="1" t="n">
        <v>44683</v>
      </c>
      <c r="E102" s="1" t="n">
        <v>46320</v>
      </c>
      <c r="F102" t="inlineStr">
        <is>
          <t>VÄRMLANDS LÄN</t>
        </is>
      </c>
      <c r="G102" t="inlineStr">
        <is>
          <t>EDA</t>
        </is>
      </c>
      <c r="I102" t="n">
        <v>0.4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46737-2022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44851</v>
      </c>
      <c r="E103" s="1" t="n">
        <v>46320</v>
      </c>
      <c r="F103" t="inlineStr">
        <is>
          <t>VÄRMLANDS LÄN</t>
        </is>
      </c>
      <c r="G103" t="inlineStr">
        <is>
          <t>EDA</t>
        </is>
      </c>
      <c r="I103" t="n">
        <v>2.9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17135-2024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45412</v>
      </c>
      <c r="E104" s="1" t="n">
        <v>46320</v>
      </c>
      <c r="F104" t="inlineStr">
        <is>
          <t>VÄRMLANDS LÄN</t>
        </is>
      </c>
      <c r="G104" t="inlineStr">
        <is>
          <t>EDA</t>
        </is>
      </c>
      <c r="I104" t="n">
        <v>4.3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20413-2025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45775</v>
      </c>
      <c r="E105" s="1" t="n">
        <v>46320</v>
      </c>
      <c r="F105" t="inlineStr">
        <is>
          <t>VÄRMLANDS LÄN</t>
        </is>
      </c>
      <c r="G105" t="inlineStr">
        <is>
          <t>EDA</t>
        </is>
      </c>
      <c r="I105" t="n">
        <v>0.9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18618-2023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45041</v>
      </c>
      <c r="E106" s="1" t="n">
        <v>46320</v>
      </c>
      <c r="F106" t="inlineStr">
        <is>
          <t>VÄRMLANDS LÄN</t>
        </is>
      </c>
      <c r="G106" t="inlineStr">
        <is>
          <t>EDA</t>
        </is>
      </c>
      <c r="I106" t="n">
        <v>0.5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26824-2023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45090</v>
      </c>
      <c r="E107" s="1" t="n">
        <v>46320</v>
      </c>
      <c r="F107" t="inlineStr">
        <is>
          <t>VÄRMLANDS LÄN</t>
        </is>
      </c>
      <c r="G107" t="inlineStr">
        <is>
          <t>EDA</t>
        </is>
      </c>
      <c r="I107" t="n">
        <v>1.2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39735-2025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45891</v>
      </c>
      <c r="E108" s="1" t="n">
        <v>46320</v>
      </c>
      <c r="F108" t="inlineStr">
        <is>
          <t>VÄRMLANDS LÄN</t>
        </is>
      </c>
      <c r="G108" t="inlineStr">
        <is>
          <t>EDA</t>
        </is>
      </c>
      <c r="H108" t="inlineStr">
        <is>
          <t>Övriga Aktiebolag</t>
        </is>
      </c>
      <c r="I108" t="n">
        <v>2.1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38292-2025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45883</v>
      </c>
      <c r="E109" s="1" t="n">
        <v>46320</v>
      </c>
      <c r="F109" t="inlineStr">
        <is>
          <t>VÄRMLANDS LÄN</t>
        </is>
      </c>
      <c r="G109" t="inlineStr">
        <is>
          <t>EDA</t>
        </is>
      </c>
      <c r="I109" t="n">
        <v>2.6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50114-2022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44865</v>
      </c>
      <c r="E110" s="1" t="n">
        <v>46320</v>
      </c>
      <c r="F110" t="inlineStr">
        <is>
          <t>VÄRMLANDS LÄN</t>
        </is>
      </c>
      <c r="G110" t="inlineStr">
        <is>
          <t>EDA</t>
        </is>
      </c>
      <c r="I110" t="n">
        <v>2.1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40692-2025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45897</v>
      </c>
      <c r="E111" s="1" t="n">
        <v>46320</v>
      </c>
      <c r="F111" t="inlineStr">
        <is>
          <t>VÄRMLANDS LÄN</t>
        </is>
      </c>
      <c r="G111" t="inlineStr">
        <is>
          <t>EDA</t>
        </is>
      </c>
      <c r="I111" t="n">
        <v>4.6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46535-2024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45582</v>
      </c>
      <c r="E112" s="1" t="n">
        <v>46320</v>
      </c>
      <c r="F112" t="inlineStr">
        <is>
          <t>VÄRMLANDS LÄN</t>
        </is>
      </c>
      <c r="G112" t="inlineStr">
        <is>
          <t>EDA</t>
        </is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43315-2022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44834</v>
      </c>
      <c r="E113" s="1" t="n">
        <v>46320</v>
      </c>
      <c r="F113" t="inlineStr">
        <is>
          <t>VÄRMLANDS LÄN</t>
        </is>
      </c>
      <c r="G113" t="inlineStr">
        <is>
          <t>EDA</t>
        </is>
      </c>
      <c r="H113" t="inlineStr">
        <is>
          <t>Kommuner</t>
        </is>
      </c>
      <c r="I113" t="n">
        <v>1.3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40880-2025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45897</v>
      </c>
      <c r="E114" s="1" t="n">
        <v>46320</v>
      </c>
      <c r="F114" t="inlineStr">
        <is>
          <t>VÄRMLANDS LÄN</t>
        </is>
      </c>
      <c r="G114" t="inlineStr">
        <is>
          <t>EDA</t>
        </is>
      </c>
      <c r="H114" t="inlineStr">
        <is>
          <t>Bergvik skog väst AB</t>
        </is>
      </c>
      <c r="I114" t="n">
        <v>4.7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40741-2025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45897</v>
      </c>
      <c r="E115" s="1" t="n">
        <v>46320</v>
      </c>
      <c r="F115" t="inlineStr">
        <is>
          <t>VÄRMLANDS LÄN</t>
        </is>
      </c>
      <c r="G115" t="inlineStr">
        <is>
          <t>EDA</t>
        </is>
      </c>
      <c r="H115" t="inlineStr">
        <is>
          <t>Bergvik skog väst AB</t>
        </is>
      </c>
      <c r="I115" t="n">
        <v>1.4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12769-2025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45733</v>
      </c>
      <c r="E116" s="1" t="n">
        <v>46320</v>
      </c>
      <c r="F116" t="inlineStr">
        <is>
          <t>VÄRMLANDS LÄN</t>
        </is>
      </c>
      <c r="G116" t="inlineStr">
        <is>
          <t>EDA</t>
        </is>
      </c>
      <c r="I116" t="n">
        <v>0.3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15144-2023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45016</v>
      </c>
      <c r="E117" s="1" t="n">
        <v>46320</v>
      </c>
      <c r="F117" t="inlineStr">
        <is>
          <t>VÄRMLANDS LÄN</t>
        </is>
      </c>
      <c r="G117" t="inlineStr">
        <is>
          <t>EDA</t>
        </is>
      </c>
      <c r="H117" t="inlineStr">
        <is>
          <t>Övriga statliga verk och myndigheter</t>
        </is>
      </c>
      <c r="I117" t="n">
        <v>0.3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31901-2022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44777</v>
      </c>
      <c r="E118" s="1" t="n">
        <v>46320</v>
      </c>
      <c r="F118" t="inlineStr">
        <is>
          <t>VÄRMLANDS LÄN</t>
        </is>
      </c>
      <c r="G118" t="inlineStr">
        <is>
          <t>EDA</t>
        </is>
      </c>
      <c r="I118" t="n">
        <v>1.3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45880-2023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45195</v>
      </c>
      <c r="E119" s="1" t="n">
        <v>46320</v>
      </c>
      <c r="F119" t="inlineStr">
        <is>
          <t>VÄRMLANDS LÄN</t>
        </is>
      </c>
      <c r="G119" t="inlineStr">
        <is>
          <t>EDA</t>
        </is>
      </c>
      <c r="I119" t="n">
        <v>1.9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10154-2025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45719</v>
      </c>
      <c r="E120" s="1" t="n">
        <v>46320</v>
      </c>
      <c r="F120" t="inlineStr">
        <is>
          <t>VÄRMLANDS LÄN</t>
        </is>
      </c>
      <c r="G120" t="inlineStr">
        <is>
          <t>EDA</t>
        </is>
      </c>
      <c r="I120" t="n">
        <v>2.7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59659-2022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44908</v>
      </c>
      <c r="E121" s="1" t="n">
        <v>46320</v>
      </c>
      <c r="F121" t="inlineStr">
        <is>
          <t>VÄRMLANDS LÄN</t>
        </is>
      </c>
      <c r="G121" t="inlineStr">
        <is>
          <t>EDA</t>
        </is>
      </c>
      <c r="I121" t="n">
        <v>2.6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42009-2025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45903</v>
      </c>
      <c r="E122" s="1" t="n">
        <v>46320</v>
      </c>
      <c r="F122" t="inlineStr">
        <is>
          <t>VÄRMLANDS LÄN</t>
        </is>
      </c>
      <c r="G122" t="inlineStr">
        <is>
          <t>EDA</t>
        </is>
      </c>
      <c r="I122" t="n">
        <v>3.2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53925-2023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45231</v>
      </c>
      <c r="E123" s="1" t="n">
        <v>46320</v>
      </c>
      <c r="F123" t="inlineStr">
        <is>
          <t>VÄRMLANDS LÄN</t>
        </is>
      </c>
      <c r="G123" t="inlineStr">
        <is>
          <t>EDA</t>
        </is>
      </c>
      <c r="I123" t="n">
        <v>2.4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41982-2025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45903</v>
      </c>
      <c r="E124" s="1" t="n">
        <v>46320</v>
      </c>
      <c r="F124" t="inlineStr">
        <is>
          <t>VÄRMLANDS LÄN</t>
        </is>
      </c>
      <c r="G124" t="inlineStr">
        <is>
          <t>EDA</t>
        </is>
      </c>
      <c r="I124" t="n">
        <v>2.6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41994-2025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45903</v>
      </c>
      <c r="E125" s="1" t="n">
        <v>46320</v>
      </c>
      <c r="F125" t="inlineStr">
        <is>
          <t>VÄRMLANDS LÄN</t>
        </is>
      </c>
      <c r="G125" t="inlineStr">
        <is>
          <t>EDA</t>
        </is>
      </c>
      <c r="I125" t="n">
        <v>1.9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41996-2025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45903</v>
      </c>
      <c r="E126" s="1" t="n">
        <v>46320</v>
      </c>
      <c r="F126" t="inlineStr">
        <is>
          <t>VÄRMLANDS LÄN</t>
        </is>
      </c>
      <c r="G126" t="inlineStr">
        <is>
          <t>EDA</t>
        </is>
      </c>
      <c r="I126" t="n">
        <v>4.7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64701-2023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45281</v>
      </c>
      <c r="E127" s="1" t="n">
        <v>46320</v>
      </c>
      <c r="F127" t="inlineStr">
        <is>
          <t>VÄRMLANDS LÄN</t>
        </is>
      </c>
      <c r="G127" t="inlineStr">
        <is>
          <t>EDA</t>
        </is>
      </c>
      <c r="I127" t="n">
        <v>0.5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30895-2024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45498</v>
      </c>
      <c r="E128" s="1" t="n">
        <v>46320</v>
      </c>
      <c r="F128" t="inlineStr">
        <is>
          <t>VÄRMLANDS LÄN</t>
        </is>
      </c>
      <c r="G128" t="inlineStr">
        <is>
          <t>EDA</t>
        </is>
      </c>
      <c r="I128" t="n">
        <v>0.8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35315-2022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44798</v>
      </c>
      <c r="E129" s="1" t="n">
        <v>46320</v>
      </c>
      <c r="F129" t="inlineStr">
        <is>
          <t>VÄRMLANDS LÄN</t>
        </is>
      </c>
      <c r="G129" t="inlineStr">
        <is>
          <t>EDA</t>
        </is>
      </c>
      <c r="I129" t="n">
        <v>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43155-2025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45910</v>
      </c>
      <c r="E130" s="1" t="n">
        <v>46320</v>
      </c>
      <c r="F130" t="inlineStr">
        <is>
          <t>VÄRMLANDS LÄN</t>
        </is>
      </c>
      <c r="G130" t="inlineStr">
        <is>
          <t>EDA</t>
        </is>
      </c>
      <c r="I130" t="n">
        <v>1.4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31924-2024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45510</v>
      </c>
      <c r="E131" s="1" t="n">
        <v>46320</v>
      </c>
      <c r="F131" t="inlineStr">
        <is>
          <t>VÄRMLANDS LÄN</t>
        </is>
      </c>
      <c r="G131" t="inlineStr">
        <is>
          <t>EDA</t>
        </is>
      </c>
      <c r="I131" t="n">
        <v>3.2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31939-2024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45510</v>
      </c>
      <c r="E132" s="1" t="n">
        <v>46320</v>
      </c>
      <c r="F132" t="inlineStr">
        <is>
          <t>VÄRMLANDS LÄN</t>
        </is>
      </c>
      <c r="G132" t="inlineStr">
        <is>
          <t>EDA</t>
        </is>
      </c>
      <c r="I132" t="n">
        <v>2.9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61703-2022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44917</v>
      </c>
      <c r="E133" s="1" t="n">
        <v>46320</v>
      </c>
      <c r="F133" t="inlineStr">
        <is>
          <t>VÄRMLANDS LÄN</t>
        </is>
      </c>
      <c r="G133" t="inlineStr">
        <is>
          <t>EDA</t>
        </is>
      </c>
      <c r="H133" t="inlineStr">
        <is>
          <t>Bergvik skog väst AB</t>
        </is>
      </c>
      <c r="I133" t="n">
        <v>9.699999999999999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61976-2022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44918</v>
      </c>
      <c r="E134" s="1" t="n">
        <v>46320</v>
      </c>
      <c r="F134" t="inlineStr">
        <is>
          <t>VÄRMLANDS LÄN</t>
        </is>
      </c>
      <c r="G134" t="inlineStr">
        <is>
          <t>EDA</t>
        </is>
      </c>
      <c r="I134" t="n">
        <v>6.1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23436-2026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46163</v>
      </c>
      <c r="E135" s="1" t="n">
        <v>46320</v>
      </c>
      <c r="F135" t="inlineStr">
        <is>
          <t>VÄRMLANDS LÄN</t>
        </is>
      </c>
      <c r="G135" t="inlineStr">
        <is>
          <t>EDA</t>
        </is>
      </c>
      <c r="I135" t="n">
        <v>7.4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23444-2026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46163</v>
      </c>
      <c r="E136" s="1" t="n">
        <v>46320</v>
      </c>
      <c r="F136" t="inlineStr">
        <is>
          <t>VÄRMLANDS LÄN</t>
        </is>
      </c>
      <c r="G136" t="inlineStr">
        <is>
          <t>EDA</t>
        </is>
      </c>
      <c r="I136" t="n">
        <v>8.1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23729-2026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46163</v>
      </c>
      <c r="E137" s="1" t="n">
        <v>46320</v>
      </c>
      <c r="F137" t="inlineStr">
        <is>
          <t>VÄRMLANDS LÄN</t>
        </is>
      </c>
      <c r="G137" t="inlineStr">
        <is>
          <t>EDA</t>
        </is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45086-2023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45191</v>
      </c>
      <c r="E138" s="1" t="n">
        <v>46320</v>
      </c>
      <c r="F138" t="inlineStr">
        <is>
          <t>VÄRMLANDS LÄN</t>
        </is>
      </c>
      <c r="G138" t="inlineStr">
        <is>
          <t>EDA</t>
        </is>
      </c>
      <c r="I138" t="n">
        <v>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33421-2023</t>
        </is>
      </c>
      <c r="B139" t="inlineStr">
        <is>
          <t>avverkningsanmälan</t>
        </is>
      </c>
      <c r="C139" t="inlineStr">
        <is>
          <t>Avverkning för annat ändamål</t>
        </is>
      </c>
      <c r="D139" s="1" t="n">
        <v>45128</v>
      </c>
      <c r="E139" s="1" t="n">
        <v>46320</v>
      </c>
      <c r="F139" t="inlineStr">
        <is>
          <t>VÄRMLANDS LÄN</t>
        </is>
      </c>
      <c r="G139" t="inlineStr">
        <is>
          <t>EDA</t>
        </is>
      </c>
      <c r="I139" t="n">
        <v>4.2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5699-2022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44596</v>
      </c>
      <c r="E140" s="1" t="n">
        <v>46320</v>
      </c>
      <c r="F140" t="inlineStr">
        <is>
          <t>VÄRMLANDS LÄN</t>
        </is>
      </c>
      <c r="G140" t="inlineStr">
        <is>
          <t>EDA</t>
        </is>
      </c>
      <c r="I140" t="n">
        <v>1.3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2389-2025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45674</v>
      </c>
      <c r="E141" s="1" t="n">
        <v>46320</v>
      </c>
      <c r="F141" t="inlineStr">
        <is>
          <t>VÄRMLANDS LÄN</t>
        </is>
      </c>
      <c r="G141" t="inlineStr">
        <is>
          <t>EDA</t>
        </is>
      </c>
      <c r="I141" t="n">
        <v>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6803-2022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44602</v>
      </c>
      <c r="E142" s="1" t="n">
        <v>46320</v>
      </c>
      <c r="F142" t="inlineStr">
        <is>
          <t>VÄRMLANDS LÄN</t>
        </is>
      </c>
      <c r="G142" t="inlineStr">
        <is>
          <t>EDA</t>
        </is>
      </c>
      <c r="I142" t="n">
        <v>2.9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23445-2026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46163</v>
      </c>
      <c r="E143" s="1" t="n">
        <v>46320</v>
      </c>
      <c r="F143" t="inlineStr">
        <is>
          <t>VÄRMLANDS LÄN</t>
        </is>
      </c>
      <c r="G143" t="inlineStr">
        <is>
          <t>EDA</t>
        </is>
      </c>
      <c r="I143" t="n">
        <v>10.7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8967-2023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44979</v>
      </c>
      <c r="E144" s="1" t="n">
        <v>46320</v>
      </c>
      <c r="F144" t="inlineStr">
        <is>
          <t>VÄRMLANDS LÄN</t>
        </is>
      </c>
      <c r="G144" t="inlineStr">
        <is>
          <t>EDA</t>
        </is>
      </c>
      <c r="I144" t="n">
        <v>1.4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44845-2025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45918</v>
      </c>
      <c r="E145" s="1" t="n">
        <v>46320</v>
      </c>
      <c r="F145" t="inlineStr">
        <is>
          <t>VÄRMLANDS LÄN</t>
        </is>
      </c>
      <c r="G145" t="inlineStr">
        <is>
          <t>EDA</t>
        </is>
      </c>
      <c r="H145" t="inlineStr">
        <is>
          <t>Bergvik skog väst AB</t>
        </is>
      </c>
      <c r="I145" t="n">
        <v>12.6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43336-2025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45910</v>
      </c>
      <c r="E146" s="1" t="n">
        <v>46320</v>
      </c>
      <c r="F146" t="inlineStr">
        <is>
          <t>VÄRMLANDS LÄN</t>
        </is>
      </c>
      <c r="G146" t="inlineStr">
        <is>
          <t>EDA</t>
        </is>
      </c>
      <c r="I146" t="n">
        <v>2.3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45298-2025</t>
        </is>
      </c>
      <c r="B147" t="inlineStr">
        <is>
          <t>avverkningsanmälan</t>
        </is>
      </c>
      <c r="C147" t="inlineStr">
        <is>
          <t>Avverkning för annat ändamål</t>
        </is>
      </c>
      <c r="D147" s="1" t="n">
        <v>45920</v>
      </c>
      <c r="E147" s="1" t="n">
        <v>46320</v>
      </c>
      <c r="F147" t="inlineStr">
        <is>
          <t>VÄRMLANDS LÄN</t>
        </is>
      </c>
      <c r="G147" t="inlineStr">
        <is>
          <t>EDA</t>
        </is>
      </c>
      <c r="I147" t="n">
        <v>3.6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5736-2025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45694</v>
      </c>
      <c r="E148" s="1" t="n">
        <v>46320</v>
      </c>
      <c r="F148" t="inlineStr">
        <is>
          <t>VÄRMLANDS LÄN</t>
        </is>
      </c>
      <c r="G148" t="inlineStr">
        <is>
          <t>EDA</t>
        </is>
      </c>
      <c r="I148" t="n">
        <v>0.5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66222-2021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44518</v>
      </c>
      <c r="E149" s="1" t="n">
        <v>46320</v>
      </c>
      <c r="F149" t="inlineStr">
        <is>
          <t>VÄRMLANDS LÄN</t>
        </is>
      </c>
      <c r="G149" t="inlineStr">
        <is>
          <t>EDA</t>
        </is>
      </c>
      <c r="I149" t="n">
        <v>0.6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45955-2025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45924</v>
      </c>
      <c r="E150" s="1" t="n">
        <v>46320</v>
      </c>
      <c r="F150" t="inlineStr">
        <is>
          <t>VÄRMLANDS LÄN</t>
        </is>
      </c>
      <c r="G150" t="inlineStr">
        <is>
          <t>EDA</t>
        </is>
      </c>
      <c r="I150" t="n">
        <v>1.6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41779-2023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45176</v>
      </c>
      <c r="E151" s="1" t="n">
        <v>46320</v>
      </c>
      <c r="F151" t="inlineStr">
        <is>
          <t>VÄRMLANDS LÄN</t>
        </is>
      </c>
      <c r="G151" t="inlineStr">
        <is>
          <t>EDA</t>
        </is>
      </c>
      <c r="I151" t="n">
        <v>9.199999999999999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46018-2025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45924</v>
      </c>
      <c r="E152" s="1" t="n">
        <v>46320</v>
      </c>
      <c r="F152" t="inlineStr">
        <is>
          <t>VÄRMLANDS LÄN</t>
        </is>
      </c>
      <c r="G152" t="inlineStr">
        <is>
          <t>EDA</t>
        </is>
      </c>
      <c r="I152" t="n">
        <v>1.7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23834-2026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46167</v>
      </c>
      <c r="E153" s="1" t="n">
        <v>46320</v>
      </c>
      <c r="F153" t="inlineStr">
        <is>
          <t>VÄRMLANDS LÄN</t>
        </is>
      </c>
      <c r="G153" t="inlineStr">
        <is>
          <t>EDA</t>
        </is>
      </c>
      <c r="I153" t="n">
        <v>1.4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23850-2026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46167</v>
      </c>
      <c r="E154" s="1" t="n">
        <v>46320</v>
      </c>
      <c r="F154" t="inlineStr">
        <is>
          <t>VÄRMLANDS LÄN</t>
        </is>
      </c>
      <c r="G154" t="inlineStr">
        <is>
          <t>EDA</t>
        </is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45948-2025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45924</v>
      </c>
      <c r="E155" s="1" t="n">
        <v>46320</v>
      </c>
      <c r="F155" t="inlineStr">
        <is>
          <t>VÄRMLANDS LÄN</t>
        </is>
      </c>
      <c r="G155" t="inlineStr">
        <is>
          <t>EDA</t>
        </is>
      </c>
      <c r="I155" t="n">
        <v>1.4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15778-2023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45021</v>
      </c>
      <c r="E156" s="1" t="n">
        <v>46320</v>
      </c>
      <c r="F156" t="inlineStr">
        <is>
          <t>VÄRMLANDS LÄN</t>
        </is>
      </c>
      <c r="G156" t="inlineStr">
        <is>
          <t>EDA</t>
        </is>
      </c>
      <c r="I156" t="n">
        <v>0.7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23191-2023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45071</v>
      </c>
      <c r="E157" s="1" t="n">
        <v>46320</v>
      </c>
      <c r="F157" t="inlineStr">
        <is>
          <t>VÄRMLANDS LÄN</t>
        </is>
      </c>
      <c r="G157" t="inlineStr">
        <is>
          <t>EDA</t>
        </is>
      </c>
      <c r="I157" t="n">
        <v>1.1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2390-2024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45310</v>
      </c>
      <c r="E158" s="1" t="n">
        <v>46320</v>
      </c>
      <c r="F158" t="inlineStr">
        <is>
          <t>VÄRMLANDS LÄN</t>
        </is>
      </c>
      <c r="G158" t="inlineStr">
        <is>
          <t>EDA</t>
        </is>
      </c>
      <c r="I158" t="n">
        <v>1.7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7367-2025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45704</v>
      </c>
      <c r="E159" s="1" t="n">
        <v>46320</v>
      </c>
      <c r="F159" t="inlineStr">
        <is>
          <t>VÄRMLANDS LÄN</t>
        </is>
      </c>
      <c r="G159" t="inlineStr">
        <is>
          <t>EDA</t>
        </is>
      </c>
      <c r="I159" t="n">
        <v>1.7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47043-2025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45929</v>
      </c>
      <c r="E160" s="1" t="n">
        <v>46320</v>
      </c>
      <c r="F160" t="inlineStr">
        <is>
          <t>VÄRMLANDS LÄN</t>
        </is>
      </c>
      <c r="G160" t="inlineStr">
        <is>
          <t>EDA</t>
        </is>
      </c>
      <c r="I160" t="n">
        <v>2.3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47028-2025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45929</v>
      </c>
      <c r="E161" s="1" t="n">
        <v>46320</v>
      </c>
      <c r="F161" t="inlineStr">
        <is>
          <t>VÄRMLANDS LÄN</t>
        </is>
      </c>
      <c r="G161" t="inlineStr">
        <is>
          <t>EDA</t>
        </is>
      </c>
      <c r="I161" t="n">
        <v>0.6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26495-2023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45092</v>
      </c>
      <c r="E162" s="1" t="n">
        <v>46320</v>
      </c>
      <c r="F162" t="inlineStr">
        <is>
          <t>VÄRMLANDS LÄN</t>
        </is>
      </c>
      <c r="G162" t="inlineStr">
        <is>
          <t>EDA</t>
        </is>
      </c>
      <c r="I162" t="n">
        <v>1.3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26501-2023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45092</v>
      </c>
      <c r="E163" s="1" t="n">
        <v>46320</v>
      </c>
      <c r="F163" t="inlineStr">
        <is>
          <t>VÄRMLANDS LÄN</t>
        </is>
      </c>
      <c r="G163" t="inlineStr">
        <is>
          <t>EDA</t>
        </is>
      </c>
      <c r="I163" t="n">
        <v>0.9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46935-2025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45929</v>
      </c>
      <c r="E164" s="1" t="n">
        <v>46320</v>
      </c>
      <c r="F164" t="inlineStr">
        <is>
          <t>VÄRMLANDS LÄN</t>
        </is>
      </c>
      <c r="G164" t="inlineStr">
        <is>
          <t>EDA</t>
        </is>
      </c>
      <c r="I164" t="n">
        <v>0.7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46927-2025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45929</v>
      </c>
      <c r="E165" s="1" t="n">
        <v>46320</v>
      </c>
      <c r="F165" t="inlineStr">
        <is>
          <t>VÄRMLANDS LÄN</t>
        </is>
      </c>
      <c r="G165" t="inlineStr">
        <is>
          <t>EDA</t>
        </is>
      </c>
      <c r="I165" t="n">
        <v>1.7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18642-2025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45763</v>
      </c>
      <c r="E166" s="1" t="n">
        <v>46320</v>
      </c>
      <c r="F166" t="inlineStr">
        <is>
          <t>VÄRMLANDS LÄN</t>
        </is>
      </c>
      <c r="G166" t="inlineStr">
        <is>
          <t>EDA</t>
        </is>
      </c>
      <c r="I166" t="n">
        <v>1.6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10918-2024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45370</v>
      </c>
      <c r="E167" s="1" t="n">
        <v>46320</v>
      </c>
      <c r="F167" t="inlineStr">
        <is>
          <t>VÄRMLANDS LÄN</t>
        </is>
      </c>
      <c r="G167" t="inlineStr">
        <is>
          <t>EDA</t>
        </is>
      </c>
      <c r="I167" t="n">
        <v>1.3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25803-2023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45090</v>
      </c>
      <c r="E168" s="1" t="n">
        <v>46320</v>
      </c>
      <c r="F168" t="inlineStr">
        <is>
          <t>VÄRMLANDS LÄN</t>
        </is>
      </c>
      <c r="G168" t="inlineStr">
        <is>
          <t>EDA</t>
        </is>
      </c>
      <c r="I168" t="n">
        <v>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25808-2023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45090</v>
      </c>
      <c r="E169" s="1" t="n">
        <v>46320</v>
      </c>
      <c r="F169" t="inlineStr">
        <is>
          <t>VÄRMLANDS LÄN</t>
        </is>
      </c>
      <c r="G169" t="inlineStr">
        <is>
          <t>EDA</t>
        </is>
      </c>
      <c r="I169" t="n">
        <v>2.6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25809-2023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45090</v>
      </c>
      <c r="E170" s="1" t="n">
        <v>46320</v>
      </c>
      <c r="F170" t="inlineStr">
        <is>
          <t>VÄRMLANDS LÄN</t>
        </is>
      </c>
      <c r="G170" t="inlineStr">
        <is>
          <t>EDA</t>
        </is>
      </c>
      <c r="I170" t="n">
        <v>1.1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64705-2023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45281</v>
      </c>
      <c r="E171" s="1" t="n">
        <v>46320</v>
      </c>
      <c r="F171" t="inlineStr">
        <is>
          <t>VÄRMLANDS LÄN</t>
        </is>
      </c>
      <c r="G171" t="inlineStr">
        <is>
          <t>EDA</t>
        </is>
      </c>
      <c r="I171" t="n">
        <v>2.8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64686-2023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45281</v>
      </c>
      <c r="E172" s="1" t="n">
        <v>46320</v>
      </c>
      <c r="F172" t="inlineStr">
        <is>
          <t>VÄRMLANDS LÄN</t>
        </is>
      </c>
      <c r="G172" t="inlineStr">
        <is>
          <t>EDA</t>
        </is>
      </c>
      <c r="I172" t="n">
        <v>0.8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48675-2025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45936</v>
      </c>
      <c r="E173" s="1" t="n">
        <v>46320</v>
      </c>
      <c r="F173" t="inlineStr">
        <is>
          <t>VÄRMLANDS LÄN</t>
        </is>
      </c>
      <c r="G173" t="inlineStr">
        <is>
          <t>EDA</t>
        </is>
      </c>
      <c r="H173" t="inlineStr">
        <is>
          <t>Bergvik skog väst AB</t>
        </is>
      </c>
      <c r="I173" t="n">
        <v>9.699999999999999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17754-2024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45418</v>
      </c>
      <c r="E174" s="1" t="n">
        <v>46320</v>
      </c>
      <c r="F174" t="inlineStr">
        <is>
          <t>VÄRMLANDS LÄN</t>
        </is>
      </c>
      <c r="G174" t="inlineStr">
        <is>
          <t>EDA</t>
        </is>
      </c>
      <c r="I174" t="n">
        <v>2.7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39018-2025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45888</v>
      </c>
      <c r="E175" s="1" t="n">
        <v>46320</v>
      </c>
      <c r="F175" t="inlineStr">
        <is>
          <t>VÄRMLANDS LÄN</t>
        </is>
      </c>
      <c r="G175" t="inlineStr">
        <is>
          <t>EDA</t>
        </is>
      </c>
      <c r="I175" t="n">
        <v>0.5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48682-2025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45936</v>
      </c>
      <c r="E176" s="1" t="n">
        <v>46320</v>
      </c>
      <c r="F176" t="inlineStr">
        <is>
          <t>VÄRMLANDS LÄN</t>
        </is>
      </c>
      <c r="G176" t="inlineStr">
        <is>
          <t>EDA</t>
        </is>
      </c>
      <c r="H176" t="inlineStr">
        <is>
          <t>Bergvik skog väst AB</t>
        </is>
      </c>
      <c r="I176" t="n">
        <v>3.9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61412-2022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44916</v>
      </c>
      <c r="E177" s="1" t="n">
        <v>46320</v>
      </c>
      <c r="F177" t="inlineStr">
        <is>
          <t>VÄRMLANDS LÄN</t>
        </is>
      </c>
      <c r="G177" t="inlineStr">
        <is>
          <t>EDA</t>
        </is>
      </c>
      <c r="I177" t="n">
        <v>1.2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8394-2023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44977</v>
      </c>
      <c r="E178" s="1" t="n">
        <v>46320</v>
      </c>
      <c r="F178" t="inlineStr">
        <is>
          <t>VÄRMLANDS LÄN</t>
        </is>
      </c>
      <c r="G178" t="inlineStr">
        <is>
          <t>EDA</t>
        </is>
      </c>
      <c r="I178" t="n">
        <v>0.5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48769-2025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45936</v>
      </c>
      <c r="E179" s="1" t="n">
        <v>46320</v>
      </c>
      <c r="F179" t="inlineStr">
        <is>
          <t>VÄRMLANDS LÄN</t>
        </is>
      </c>
      <c r="G179" t="inlineStr">
        <is>
          <t>EDA</t>
        </is>
      </c>
      <c r="I179" t="n">
        <v>5.3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55095-2024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45621</v>
      </c>
      <c r="E180" s="1" t="n">
        <v>46320</v>
      </c>
      <c r="F180" t="inlineStr">
        <is>
          <t>VÄRMLANDS LÄN</t>
        </is>
      </c>
      <c r="G180" t="inlineStr">
        <is>
          <t>EDA</t>
        </is>
      </c>
      <c r="I180" t="n">
        <v>1.9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1565-2023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44937</v>
      </c>
      <c r="E181" s="1" t="n">
        <v>46320</v>
      </c>
      <c r="F181" t="inlineStr">
        <is>
          <t>VÄRMLANDS LÄN</t>
        </is>
      </c>
      <c r="G181" t="inlineStr">
        <is>
          <t>EDA</t>
        </is>
      </c>
      <c r="I181" t="n">
        <v>2.4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19685-2024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45432</v>
      </c>
      <c r="E182" s="1" t="n">
        <v>46320</v>
      </c>
      <c r="F182" t="inlineStr">
        <is>
          <t>VÄRMLANDS LÄN</t>
        </is>
      </c>
      <c r="G182" t="inlineStr">
        <is>
          <t>EDA</t>
        </is>
      </c>
      <c r="I182" t="n">
        <v>1.1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20920-2023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45061</v>
      </c>
      <c r="E183" s="1" t="n">
        <v>46320</v>
      </c>
      <c r="F183" t="inlineStr">
        <is>
          <t>VÄRMLANDS LÄN</t>
        </is>
      </c>
      <c r="G183" t="inlineStr">
        <is>
          <t>EDA</t>
        </is>
      </c>
      <c r="I183" t="n">
        <v>5.7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38616-2023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45162</v>
      </c>
      <c r="E184" s="1" t="n">
        <v>46320</v>
      </c>
      <c r="F184" t="inlineStr">
        <is>
          <t>VÄRMLANDS LÄN</t>
        </is>
      </c>
      <c r="G184" t="inlineStr">
        <is>
          <t>EDA</t>
        </is>
      </c>
      <c r="I184" t="n">
        <v>5.5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53396-2023</t>
        </is>
      </c>
      <c r="B185" t="inlineStr">
        <is>
          <t>avverkningsanmälan</t>
        </is>
      </c>
      <c r="C185" t="inlineStr">
        <is>
          <t>Avverkning för annat ändamål</t>
        </is>
      </c>
      <c r="D185" s="1" t="n">
        <v>45229</v>
      </c>
      <c r="E185" s="1" t="n">
        <v>46320</v>
      </c>
      <c r="F185" t="inlineStr">
        <is>
          <t>VÄRMLANDS LÄN</t>
        </is>
      </c>
      <c r="G185" t="inlineStr">
        <is>
          <t>EDA</t>
        </is>
      </c>
      <c r="I185" t="n">
        <v>1.5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24112-2024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45456</v>
      </c>
      <c r="E186" s="1" t="n">
        <v>46320</v>
      </c>
      <c r="F186" t="inlineStr">
        <is>
          <t>VÄRMLANDS LÄN</t>
        </is>
      </c>
      <c r="G186" t="inlineStr">
        <is>
          <t>EDA</t>
        </is>
      </c>
      <c r="I186" t="n">
        <v>6.6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25292-2026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46176</v>
      </c>
      <c r="E187" s="1" t="n">
        <v>46320</v>
      </c>
      <c r="F187" t="inlineStr">
        <is>
          <t>VÄRMLANDS LÄN</t>
        </is>
      </c>
      <c r="G187" t="inlineStr">
        <is>
          <t>EDA</t>
        </is>
      </c>
      <c r="I187" t="n">
        <v>1.5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34431-2023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45139</v>
      </c>
      <c r="E188" s="1" t="n">
        <v>46320</v>
      </c>
      <c r="F188" t="inlineStr">
        <is>
          <t>VÄRMLANDS LÄN</t>
        </is>
      </c>
      <c r="G188" t="inlineStr">
        <is>
          <t>EDA</t>
        </is>
      </c>
      <c r="I188" t="n">
        <v>0.9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25448-2026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46177</v>
      </c>
      <c r="E189" s="1" t="n">
        <v>46320</v>
      </c>
      <c r="F189" t="inlineStr">
        <is>
          <t>VÄRMLANDS LÄN</t>
        </is>
      </c>
      <c r="G189" t="inlineStr">
        <is>
          <t>EDA</t>
        </is>
      </c>
      <c r="I189" t="n">
        <v>3.5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40323-2024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45554</v>
      </c>
      <c r="E190" s="1" t="n">
        <v>46320</v>
      </c>
      <c r="F190" t="inlineStr">
        <is>
          <t>VÄRMLANDS LÄN</t>
        </is>
      </c>
      <c r="G190" t="inlineStr">
        <is>
          <t>EDA</t>
        </is>
      </c>
      <c r="I190" t="n">
        <v>2.6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58234-2022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44901</v>
      </c>
      <c r="E191" s="1" t="n">
        <v>46320</v>
      </c>
      <c r="F191" t="inlineStr">
        <is>
          <t>VÄRMLANDS LÄN</t>
        </is>
      </c>
      <c r="G191" t="inlineStr">
        <is>
          <t>EDA</t>
        </is>
      </c>
      <c r="I191" t="n">
        <v>0.8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39213-2024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45549</v>
      </c>
      <c r="E192" s="1" t="n">
        <v>46320</v>
      </c>
      <c r="F192" t="inlineStr">
        <is>
          <t>VÄRMLANDS LÄN</t>
        </is>
      </c>
      <c r="G192" t="inlineStr">
        <is>
          <t>EDA</t>
        </is>
      </c>
      <c r="I192" t="n">
        <v>0.7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35634-2022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44799</v>
      </c>
      <c r="E193" s="1" t="n">
        <v>46320</v>
      </c>
      <c r="F193" t="inlineStr">
        <is>
          <t>VÄRMLANDS LÄN</t>
        </is>
      </c>
      <c r="G193" t="inlineStr">
        <is>
          <t>EDA</t>
        </is>
      </c>
      <c r="I193" t="n">
        <v>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4424-2023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44956</v>
      </c>
      <c r="E194" s="1" t="n">
        <v>46320</v>
      </c>
      <c r="F194" t="inlineStr">
        <is>
          <t>VÄRMLANDS LÄN</t>
        </is>
      </c>
      <c r="G194" t="inlineStr">
        <is>
          <t>EDA</t>
        </is>
      </c>
      <c r="I194" t="n">
        <v>1.1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887-2024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45301</v>
      </c>
      <c r="E195" s="1" t="n">
        <v>46320</v>
      </c>
      <c r="F195" t="inlineStr">
        <is>
          <t>VÄRMLANDS LÄN</t>
        </is>
      </c>
      <c r="G195" t="inlineStr">
        <is>
          <t>EDA</t>
        </is>
      </c>
      <c r="H195" t="inlineStr">
        <is>
          <t>Kyrkan</t>
        </is>
      </c>
      <c r="I195" t="n">
        <v>3.4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56763-2022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44894</v>
      </c>
      <c r="E196" s="1" t="n">
        <v>46320</v>
      </c>
      <c r="F196" t="inlineStr">
        <is>
          <t>VÄRMLANDS LÄN</t>
        </is>
      </c>
      <c r="G196" t="inlineStr">
        <is>
          <t>EDA</t>
        </is>
      </c>
      <c r="I196" t="n">
        <v>2.9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6504-2023</t>
        </is>
      </c>
      <c r="B197" t="inlineStr">
        <is>
          <t>avverkningsanmälan</t>
        </is>
      </c>
      <c r="C197" t="inlineStr">
        <is>
          <t>Avverkning för annat ändamål</t>
        </is>
      </c>
      <c r="D197" s="1" t="n">
        <v>44966</v>
      </c>
      <c r="E197" s="1" t="n">
        <v>46320</v>
      </c>
      <c r="F197" t="inlineStr">
        <is>
          <t>VÄRMLANDS LÄN</t>
        </is>
      </c>
      <c r="G197" t="inlineStr">
        <is>
          <t>EDA</t>
        </is>
      </c>
      <c r="I197" t="n">
        <v>1.7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13640-2024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45390</v>
      </c>
      <c r="E198" s="1" t="n">
        <v>46320</v>
      </c>
      <c r="F198" t="inlineStr">
        <is>
          <t>VÄRMLANDS LÄN</t>
        </is>
      </c>
      <c r="G198" t="inlineStr">
        <is>
          <t>EDA</t>
        </is>
      </c>
      <c r="I198" t="n">
        <v>4.3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17246-2025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45756</v>
      </c>
      <c r="E199" s="1" t="n">
        <v>46320</v>
      </c>
      <c r="F199" t="inlineStr">
        <is>
          <t>VÄRMLANDS LÄN</t>
        </is>
      </c>
      <c r="G199" t="inlineStr">
        <is>
          <t>EDA</t>
        </is>
      </c>
      <c r="I199" t="n">
        <v>0.7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18758-2024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45426</v>
      </c>
      <c r="E200" s="1" t="n">
        <v>46320</v>
      </c>
      <c r="F200" t="inlineStr">
        <is>
          <t>VÄRMLANDS LÄN</t>
        </is>
      </c>
      <c r="G200" t="inlineStr">
        <is>
          <t>EDA</t>
        </is>
      </c>
      <c r="I200" t="n">
        <v>0.5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51407-2025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45950</v>
      </c>
      <c r="E201" s="1" t="n">
        <v>46320</v>
      </c>
      <c r="F201" t="inlineStr">
        <is>
          <t>VÄRMLANDS LÄN</t>
        </is>
      </c>
      <c r="G201" t="inlineStr">
        <is>
          <t>EDA</t>
        </is>
      </c>
      <c r="H201" t="inlineStr">
        <is>
          <t>Bergvik skog väst AB</t>
        </is>
      </c>
      <c r="I201" t="n">
        <v>2.9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26818-2023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45090</v>
      </c>
      <c r="E202" s="1" t="n">
        <v>46320</v>
      </c>
      <c r="F202" t="inlineStr">
        <is>
          <t>VÄRMLANDS LÄN</t>
        </is>
      </c>
      <c r="G202" t="inlineStr">
        <is>
          <t>EDA</t>
        </is>
      </c>
      <c r="I202" t="n">
        <v>2.7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25800-2026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46178</v>
      </c>
      <c r="E203" s="1" t="n">
        <v>46320</v>
      </c>
      <c r="F203" t="inlineStr">
        <is>
          <t>VÄRMLANDS LÄN</t>
        </is>
      </c>
      <c r="G203" t="inlineStr">
        <is>
          <t>EDA</t>
        </is>
      </c>
      <c r="I203" t="n">
        <v>2.1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38108-2023</t>
        </is>
      </c>
      <c r="B204" t="inlineStr">
        <is>
          <t>avverkningsanmälan</t>
        </is>
      </c>
      <c r="C204" t="inlineStr">
        <is>
          <t>Föryngringsavverkning</t>
        </is>
      </c>
      <c r="D204" s="1" t="n">
        <v>45161</v>
      </c>
      <c r="E204" s="1" t="n">
        <v>46320</v>
      </c>
      <c r="F204" t="inlineStr">
        <is>
          <t>VÄRMLANDS LÄN</t>
        </is>
      </c>
      <c r="G204" t="inlineStr">
        <is>
          <t>EDA</t>
        </is>
      </c>
      <c r="I204" t="n">
        <v>5.1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33842-2024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45520</v>
      </c>
      <c r="E205" s="1" t="n">
        <v>46320</v>
      </c>
      <c r="F205" t="inlineStr">
        <is>
          <t>VÄRMLANDS LÄN</t>
        </is>
      </c>
      <c r="G205" t="inlineStr">
        <is>
          <t>EDA</t>
        </is>
      </c>
      <c r="I205" t="n">
        <v>1.1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12087-2022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44636</v>
      </c>
      <c r="E206" s="1" t="n">
        <v>46320</v>
      </c>
      <c r="F206" t="inlineStr">
        <is>
          <t>VÄRMLANDS LÄN</t>
        </is>
      </c>
      <c r="G206" t="inlineStr">
        <is>
          <t>EDA</t>
        </is>
      </c>
      <c r="I206" t="n">
        <v>1.8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47619-2023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45203</v>
      </c>
      <c r="E207" s="1" t="n">
        <v>46320</v>
      </c>
      <c r="F207" t="inlineStr">
        <is>
          <t>VÄRMLANDS LÄN</t>
        </is>
      </c>
      <c r="G207" t="inlineStr">
        <is>
          <t>EDA</t>
        </is>
      </c>
      <c r="I207" t="n">
        <v>1.2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57257-2024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45629</v>
      </c>
      <c r="E208" s="1" t="n">
        <v>46320</v>
      </c>
      <c r="F208" t="inlineStr">
        <is>
          <t>VÄRMLANDS LÄN</t>
        </is>
      </c>
      <c r="G208" t="inlineStr">
        <is>
          <t>EDA</t>
        </is>
      </c>
      <c r="I208" t="n">
        <v>1.2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1923-2024</t>
        </is>
      </c>
      <c r="B209" t="inlineStr">
        <is>
          <t>avverkningsanmälan</t>
        </is>
      </c>
      <c r="C209" t="inlineStr">
        <is>
          <t>Föryngringsavverkning</t>
        </is>
      </c>
      <c r="D209" s="1" t="n">
        <v>45308</v>
      </c>
      <c r="E209" s="1" t="n">
        <v>46320</v>
      </c>
      <c r="F209" t="inlineStr">
        <is>
          <t>VÄRMLANDS LÄN</t>
        </is>
      </c>
      <c r="G209" t="inlineStr">
        <is>
          <t>EDA</t>
        </is>
      </c>
      <c r="I209" t="n">
        <v>1.2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29230-2023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45105</v>
      </c>
      <c r="E210" s="1" t="n">
        <v>46320</v>
      </c>
      <c r="F210" t="inlineStr">
        <is>
          <t>VÄRMLANDS LÄN</t>
        </is>
      </c>
      <c r="G210" t="inlineStr">
        <is>
          <t>EDA</t>
        </is>
      </c>
      <c r="I210" t="n">
        <v>0.8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11649-2025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45727</v>
      </c>
      <c r="E211" s="1" t="n">
        <v>46320</v>
      </c>
      <c r="F211" t="inlineStr">
        <is>
          <t>VÄRMLANDS LÄN</t>
        </is>
      </c>
      <c r="G211" t="inlineStr">
        <is>
          <t>EDA</t>
        </is>
      </c>
      <c r="I211" t="n">
        <v>0.5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11652-2025</t>
        </is>
      </c>
      <c r="B212" t="inlineStr">
        <is>
          <t>avverkningsanmälan</t>
        </is>
      </c>
      <c r="C212" t="inlineStr">
        <is>
          <t>Föryngringsavverkning</t>
        </is>
      </c>
      <c r="D212" s="1" t="n">
        <v>45727</v>
      </c>
      <c r="E212" s="1" t="n">
        <v>46320</v>
      </c>
      <c r="F212" t="inlineStr">
        <is>
          <t>VÄRMLANDS LÄN</t>
        </is>
      </c>
      <c r="G212" t="inlineStr">
        <is>
          <t>EDA</t>
        </is>
      </c>
      <c r="I212" t="n">
        <v>0.9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52834-2025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45957</v>
      </c>
      <c r="E213" s="1" t="n">
        <v>46320</v>
      </c>
      <c r="F213" t="inlineStr">
        <is>
          <t>VÄRMLANDS LÄN</t>
        </is>
      </c>
      <c r="G213" t="inlineStr">
        <is>
          <t>EDA</t>
        </is>
      </c>
      <c r="I213" t="n">
        <v>3.9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31678-2022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44776</v>
      </c>
      <c r="E214" s="1" t="n">
        <v>46320</v>
      </c>
      <c r="F214" t="inlineStr">
        <is>
          <t>VÄRMLANDS LÄN</t>
        </is>
      </c>
      <c r="G214" t="inlineStr">
        <is>
          <t>EDA</t>
        </is>
      </c>
      <c r="H214" t="inlineStr">
        <is>
          <t>Kommuner</t>
        </is>
      </c>
      <c r="I214" t="n">
        <v>2.5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2261-2024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45310</v>
      </c>
      <c r="E215" s="1" t="n">
        <v>46320</v>
      </c>
      <c r="F215" t="inlineStr">
        <is>
          <t>VÄRMLANDS LÄN</t>
        </is>
      </c>
      <c r="G215" t="inlineStr">
        <is>
          <t>EDA</t>
        </is>
      </c>
      <c r="I215" t="n">
        <v>1.7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12118-2023</t>
        </is>
      </c>
      <c r="B216" t="inlineStr">
        <is>
          <t>avverkningsanmälan</t>
        </is>
      </c>
      <c r="C216" t="inlineStr">
        <is>
          <t>Föryngringsavverkning</t>
        </is>
      </c>
      <c r="D216" s="1" t="n">
        <v>44998</v>
      </c>
      <c r="E216" s="1" t="n">
        <v>46320</v>
      </c>
      <c r="F216" t="inlineStr">
        <is>
          <t>VÄRMLANDS LÄN</t>
        </is>
      </c>
      <c r="G216" t="inlineStr">
        <is>
          <t>EDA</t>
        </is>
      </c>
      <c r="I216" t="n">
        <v>3.9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5432-2025</t>
        </is>
      </c>
      <c r="B217" t="inlineStr">
        <is>
          <t>avverkningsanmälan</t>
        </is>
      </c>
      <c r="C217" t="inlineStr">
        <is>
          <t>Avverkning för annat ändamål</t>
        </is>
      </c>
      <c r="D217" s="1" t="n">
        <v>45692</v>
      </c>
      <c r="E217" s="1" t="n">
        <v>46320</v>
      </c>
      <c r="F217" t="inlineStr">
        <is>
          <t>VÄRMLANDS LÄN</t>
        </is>
      </c>
      <c r="G217" t="inlineStr">
        <is>
          <t>EDA</t>
        </is>
      </c>
      <c r="I217" t="n">
        <v>0.4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38125-2023</t>
        </is>
      </c>
      <c r="B218" t="inlineStr">
        <is>
          <t>avverkningsanmälan</t>
        </is>
      </c>
      <c r="C218" t="inlineStr">
        <is>
          <t>Föryngringsavverkning</t>
        </is>
      </c>
      <c r="D218" s="1" t="n">
        <v>45161</v>
      </c>
      <c r="E218" s="1" t="n">
        <v>46320</v>
      </c>
      <c r="F218" t="inlineStr">
        <is>
          <t>VÄRMLANDS LÄN</t>
        </is>
      </c>
      <c r="G218" t="inlineStr">
        <is>
          <t>EDA</t>
        </is>
      </c>
      <c r="I218" t="n">
        <v>4.4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54610-2025</t>
        </is>
      </c>
      <c r="B219" t="inlineStr">
        <is>
          <t>avverkningsanmälan</t>
        </is>
      </c>
      <c r="C219" t="inlineStr">
        <is>
          <t>Föryngringsavverkning</t>
        </is>
      </c>
      <c r="D219" s="1" t="n">
        <v>45966</v>
      </c>
      <c r="E219" s="1" t="n">
        <v>46320</v>
      </c>
      <c r="F219" t="inlineStr">
        <is>
          <t>VÄRMLANDS LÄN</t>
        </is>
      </c>
      <c r="G219" t="inlineStr">
        <is>
          <t>EDA</t>
        </is>
      </c>
      <c r="I219" t="n">
        <v>2.2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50030-2022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44865</v>
      </c>
      <c r="E220" s="1" t="n">
        <v>46320</v>
      </c>
      <c r="F220" t="inlineStr">
        <is>
          <t>VÄRMLANDS LÄN</t>
        </is>
      </c>
      <c r="G220" t="inlineStr">
        <is>
          <t>EDA</t>
        </is>
      </c>
      <c r="I220" t="n">
        <v>0.9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49229-2023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45210</v>
      </c>
      <c r="E221" s="1" t="n">
        <v>46320</v>
      </c>
      <c r="F221" t="inlineStr">
        <is>
          <t>VÄRMLANDS LÄN</t>
        </is>
      </c>
      <c r="G221" t="inlineStr">
        <is>
          <t>EDA</t>
        </is>
      </c>
      <c r="I221" t="n">
        <v>0.9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1711-2024</t>
        </is>
      </c>
      <c r="B222" t="inlineStr">
        <is>
          <t>avverkningsanmälan</t>
        </is>
      </c>
      <c r="C222" t="inlineStr">
        <is>
          <t>Föryngringsavverkning</t>
        </is>
      </c>
      <c r="D222" s="1" t="n">
        <v>45307</v>
      </c>
      <c r="E222" s="1" t="n">
        <v>46320</v>
      </c>
      <c r="F222" t="inlineStr">
        <is>
          <t>VÄRMLANDS LÄN</t>
        </is>
      </c>
      <c r="G222" t="inlineStr">
        <is>
          <t>EDA</t>
        </is>
      </c>
      <c r="I222" t="n">
        <v>3.2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55097-2025</t>
        </is>
      </c>
      <c r="B223" t="inlineStr">
        <is>
          <t>avverkningsanmälan</t>
        </is>
      </c>
      <c r="C223" t="inlineStr">
        <is>
          <t>Föryngringsavverkning</t>
        </is>
      </c>
      <c r="D223" s="1" t="n">
        <v>45968</v>
      </c>
      <c r="E223" s="1" t="n">
        <v>46320</v>
      </c>
      <c r="F223" t="inlineStr">
        <is>
          <t>VÄRMLANDS LÄN</t>
        </is>
      </c>
      <c r="G223" t="inlineStr">
        <is>
          <t>EDA</t>
        </is>
      </c>
      <c r="I223" t="n">
        <v>4.5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55526-2025</t>
        </is>
      </c>
      <c r="B224" t="inlineStr">
        <is>
          <t>avverkningsanmälan</t>
        </is>
      </c>
      <c r="C224" t="inlineStr">
        <is>
          <t>Föryngringsavverkning</t>
        </is>
      </c>
      <c r="D224" s="1" t="n">
        <v>45971</v>
      </c>
      <c r="E224" s="1" t="n">
        <v>46320</v>
      </c>
      <c r="F224" t="inlineStr">
        <is>
          <t>VÄRMLANDS LÄN</t>
        </is>
      </c>
      <c r="G224" t="inlineStr">
        <is>
          <t>EDA</t>
        </is>
      </c>
      <c r="I224" t="n">
        <v>2.5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55442-2025</t>
        </is>
      </c>
      <c r="B225" t="inlineStr">
        <is>
          <t>avverkningsanmälan</t>
        </is>
      </c>
      <c r="C225" t="inlineStr">
        <is>
          <t>Föryngringsavverkning</t>
        </is>
      </c>
      <c r="D225" s="1" t="n">
        <v>45971</v>
      </c>
      <c r="E225" s="1" t="n">
        <v>46320</v>
      </c>
      <c r="F225" t="inlineStr">
        <is>
          <t>VÄRMLANDS LÄN</t>
        </is>
      </c>
      <c r="G225" t="inlineStr">
        <is>
          <t>EDA</t>
        </is>
      </c>
      <c r="H225" t="inlineStr">
        <is>
          <t>Bergvik skog väst AB</t>
        </is>
      </c>
      <c r="I225" t="n">
        <v>2.1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55523-2025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45971</v>
      </c>
      <c r="E226" s="1" t="n">
        <v>46320</v>
      </c>
      <c r="F226" t="inlineStr">
        <is>
          <t>VÄRMLANDS LÄN</t>
        </is>
      </c>
      <c r="G226" t="inlineStr">
        <is>
          <t>EDA</t>
        </is>
      </c>
      <c r="I226" t="n">
        <v>0.9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28070-2026</t>
        </is>
      </c>
      <c r="B227" t="inlineStr">
        <is>
          <t>avverkningsanmälan</t>
        </is>
      </c>
      <c r="C227" t="inlineStr">
        <is>
          <t>Föryngringsavverkning</t>
        </is>
      </c>
      <c r="D227" s="1" t="n">
        <v>46195</v>
      </c>
      <c r="E227" s="1" t="n">
        <v>46320</v>
      </c>
      <c r="F227" t="inlineStr">
        <is>
          <t>VÄRMLANDS LÄN</t>
        </is>
      </c>
      <c r="G227" t="inlineStr">
        <is>
          <t>EDA</t>
        </is>
      </c>
      <c r="H227" t="inlineStr">
        <is>
          <t>Bergvik skog väst AB</t>
        </is>
      </c>
      <c r="I227" t="n">
        <v>3.9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A 14795-2024</t>
        </is>
      </c>
      <c r="B228" t="inlineStr">
        <is>
          <t>avverkningsanmälan</t>
        </is>
      </c>
      <c r="C228" t="inlineStr">
        <is>
          <t>Föryngringsavverkning</t>
        </is>
      </c>
      <c r="D228" s="1" t="n">
        <v>45397</v>
      </c>
      <c r="E228" s="1" t="n">
        <v>46320</v>
      </c>
      <c r="F228" t="inlineStr">
        <is>
          <t>VÄRMLANDS LÄN</t>
        </is>
      </c>
      <c r="G228" t="inlineStr">
        <is>
          <t>EDA</t>
        </is>
      </c>
      <c r="I228" t="n">
        <v>0.8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A 55478-2025</t>
        </is>
      </c>
      <c r="B229" t="inlineStr">
        <is>
          <t>avverkningsanmälan</t>
        </is>
      </c>
      <c r="C229" t="inlineStr">
        <is>
          <t>Föryngringsavverkning</t>
        </is>
      </c>
      <c r="D229" s="1" t="n">
        <v>45971</v>
      </c>
      <c r="E229" s="1" t="n">
        <v>46320</v>
      </c>
      <c r="F229" t="inlineStr">
        <is>
          <t>VÄRMLANDS LÄN</t>
        </is>
      </c>
      <c r="G229" t="inlineStr">
        <is>
          <t>EDA</t>
        </is>
      </c>
      <c r="H229" t="inlineStr">
        <is>
          <t>Bergvik skog väst AB</t>
        </is>
      </c>
      <c r="I229" t="n">
        <v>1.8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A 55528-2025</t>
        </is>
      </c>
      <c r="B230" t="inlineStr">
        <is>
          <t>avverkningsanmälan</t>
        </is>
      </c>
      <c r="C230" t="inlineStr">
        <is>
          <t>Föryngringsavverkning</t>
        </is>
      </c>
      <c r="D230" s="1" t="n">
        <v>45971</v>
      </c>
      <c r="E230" s="1" t="n">
        <v>46320</v>
      </c>
      <c r="F230" t="inlineStr">
        <is>
          <t>VÄRMLANDS LÄN</t>
        </is>
      </c>
      <c r="G230" t="inlineStr">
        <is>
          <t>EDA</t>
        </is>
      </c>
      <c r="I230" t="n">
        <v>0.6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A 43522-2023</t>
        </is>
      </c>
      <c r="B231" t="inlineStr">
        <is>
          <t>avverkningsanmälan</t>
        </is>
      </c>
      <c r="C231" t="inlineStr">
        <is>
          <t>Föryngringsavverkning</t>
        </is>
      </c>
      <c r="D231" s="1" t="n">
        <v>45184</v>
      </c>
      <c r="E231" s="1" t="n">
        <v>46320</v>
      </c>
      <c r="F231" t="inlineStr">
        <is>
          <t>VÄRMLANDS LÄN</t>
        </is>
      </c>
      <c r="G231" t="inlineStr">
        <is>
          <t>EDA</t>
        </is>
      </c>
      <c r="I231" t="n">
        <v>6.6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 ht="15" customHeight="1">
      <c r="A232" t="inlineStr">
        <is>
          <t>A 43524-2023</t>
        </is>
      </c>
      <c r="B232" t="inlineStr">
        <is>
          <t>avverkningsanmälan</t>
        </is>
      </c>
      <c r="C232" t="inlineStr">
        <is>
          <t>Föryngringsavverkning</t>
        </is>
      </c>
      <c r="D232" s="1" t="n">
        <v>45184</v>
      </c>
      <c r="E232" s="1" t="n">
        <v>46320</v>
      </c>
      <c r="F232" t="inlineStr">
        <is>
          <t>VÄRMLANDS LÄN</t>
        </is>
      </c>
      <c r="G232" t="inlineStr">
        <is>
          <t>EDA</t>
        </is>
      </c>
      <c r="I232" t="n">
        <v>2.4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  <row r="233" ht="15" customHeight="1">
      <c r="A233" t="inlineStr">
        <is>
          <t>A 63272-2023</t>
        </is>
      </c>
      <c r="B233" t="inlineStr">
        <is>
          <t>avverkningsanmälan</t>
        </is>
      </c>
      <c r="C233" t="inlineStr">
        <is>
          <t>Föryngringsavverkning</t>
        </is>
      </c>
      <c r="D233" s="1" t="n">
        <v>45273</v>
      </c>
      <c r="E233" s="1" t="n">
        <v>46320</v>
      </c>
      <c r="F233" t="inlineStr">
        <is>
          <t>VÄRMLANDS LÄN</t>
        </is>
      </c>
      <c r="G233" t="inlineStr">
        <is>
          <t>EDA</t>
        </is>
      </c>
      <c r="I233" t="n">
        <v>0.5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inlineStr"/>
    </row>
    <row r="234" ht="15" customHeight="1">
      <c r="A234" t="inlineStr">
        <is>
          <t>A 39583-2024</t>
        </is>
      </c>
      <c r="B234" t="inlineStr">
        <is>
          <t>avverkningsanmälan</t>
        </is>
      </c>
      <c r="C234" t="inlineStr">
        <is>
          <t>Föryngringsavverkning</t>
        </is>
      </c>
      <c r="D234" s="1" t="n">
        <v>45552</v>
      </c>
      <c r="E234" s="1" t="n">
        <v>46320</v>
      </c>
      <c r="F234" t="inlineStr">
        <is>
          <t>VÄRMLANDS LÄN</t>
        </is>
      </c>
      <c r="G234" t="inlineStr">
        <is>
          <t>EDA</t>
        </is>
      </c>
      <c r="H234" t="inlineStr">
        <is>
          <t>Kommuner</t>
        </is>
      </c>
      <c r="I234" t="n">
        <v>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inlineStr"/>
    </row>
    <row r="235" ht="15" customHeight="1">
      <c r="A235" t="inlineStr">
        <is>
          <t>A 28435-2026</t>
        </is>
      </c>
      <c r="B235" t="inlineStr">
        <is>
          <t>avverkningsanmälan</t>
        </is>
      </c>
      <c r="C235" t="inlineStr">
        <is>
          <t>Föryngringsavverkning</t>
        </is>
      </c>
      <c r="D235" s="1" t="n">
        <v>46197</v>
      </c>
      <c r="E235" s="1" t="n">
        <v>46320</v>
      </c>
      <c r="F235" t="inlineStr">
        <is>
          <t>VÄRMLANDS LÄN</t>
        </is>
      </c>
      <c r="G235" t="inlineStr">
        <is>
          <t>EDA</t>
        </is>
      </c>
      <c r="H235" t="inlineStr">
        <is>
          <t>Bergvik skog väst AB</t>
        </is>
      </c>
      <c r="I235" t="n">
        <v>2.9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inlineStr"/>
    </row>
    <row r="236" ht="15" customHeight="1">
      <c r="A236" t="inlineStr">
        <is>
          <t>A 53965-2024</t>
        </is>
      </c>
      <c r="B236" t="inlineStr">
        <is>
          <t>avverkningsanmälan</t>
        </is>
      </c>
      <c r="C236" t="inlineStr">
        <is>
          <t>Föryngringsavverkning</t>
        </is>
      </c>
      <c r="D236" s="1" t="n">
        <v>45616</v>
      </c>
      <c r="E236" s="1" t="n">
        <v>46320</v>
      </c>
      <c r="F236" t="inlineStr">
        <is>
          <t>VÄRMLANDS LÄN</t>
        </is>
      </c>
      <c r="G236" t="inlineStr">
        <is>
          <t>EDA</t>
        </is>
      </c>
      <c r="I236" t="n">
        <v>0.6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2" t="inlineStr"/>
    </row>
    <row r="237" ht="15" customHeight="1">
      <c r="A237" t="inlineStr">
        <is>
          <t>A 28393-2026</t>
        </is>
      </c>
      <c r="B237" t="inlineStr">
        <is>
          <t>avverkningsanmälan</t>
        </is>
      </c>
      <c r="C237" t="inlineStr">
        <is>
          <t>Föryngringsavverkning</t>
        </is>
      </c>
      <c r="D237" s="1" t="n">
        <v>46196</v>
      </c>
      <c r="E237" s="1" t="n">
        <v>46320</v>
      </c>
      <c r="F237" t="inlineStr">
        <is>
          <t>VÄRMLANDS LÄN</t>
        </is>
      </c>
      <c r="G237" t="inlineStr">
        <is>
          <t>EDA</t>
        </is>
      </c>
      <c r="I237" t="n">
        <v>16.9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2" t="inlineStr"/>
    </row>
    <row r="238" ht="15" customHeight="1">
      <c r="A238" t="inlineStr">
        <is>
          <t>A 14090-2024</t>
        </is>
      </c>
      <c r="B238" t="inlineStr">
        <is>
          <t>avverkningsanmälan</t>
        </is>
      </c>
      <c r="C238" t="inlineStr">
        <is>
          <t>Föryngringsavverkning</t>
        </is>
      </c>
      <c r="D238" s="1" t="n">
        <v>45392</v>
      </c>
      <c r="E238" s="1" t="n">
        <v>46320</v>
      </c>
      <c r="F238" t="inlineStr">
        <is>
          <t>VÄRMLANDS LÄN</t>
        </is>
      </c>
      <c r="G238" t="inlineStr">
        <is>
          <t>EDA</t>
        </is>
      </c>
      <c r="I238" t="n">
        <v>0.5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2" t="inlineStr"/>
    </row>
    <row r="239" ht="15" customHeight="1">
      <c r="A239" t="inlineStr">
        <is>
          <t>A 23904-2024</t>
        </is>
      </c>
      <c r="B239" t="inlineStr">
        <is>
          <t>avverkningsanmälan</t>
        </is>
      </c>
      <c r="C239" t="inlineStr">
        <is>
          <t>Föryngringsavverkning</t>
        </is>
      </c>
      <c r="D239" s="1" t="n">
        <v>45455</v>
      </c>
      <c r="E239" s="1" t="n">
        <v>46320</v>
      </c>
      <c r="F239" t="inlineStr">
        <is>
          <t>VÄRMLANDS LÄN</t>
        </is>
      </c>
      <c r="G239" t="inlineStr">
        <is>
          <t>EDA</t>
        </is>
      </c>
      <c r="I239" t="n">
        <v>3.6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s="2" t="inlineStr"/>
    </row>
    <row r="240" ht="15" customHeight="1">
      <c r="A240" t="inlineStr">
        <is>
          <t>A 998-2023</t>
        </is>
      </c>
      <c r="B240" t="inlineStr">
        <is>
          <t>avverkningsanmälan</t>
        </is>
      </c>
      <c r="C240" t="inlineStr">
        <is>
          <t>Föryngringsavverkning</t>
        </is>
      </c>
      <c r="D240" s="1" t="n">
        <v>44935</v>
      </c>
      <c r="E240" s="1" t="n">
        <v>46320</v>
      </c>
      <c r="F240" t="inlineStr">
        <is>
          <t>VÄRMLANDS LÄN</t>
        </is>
      </c>
      <c r="G240" t="inlineStr">
        <is>
          <t>EDA</t>
        </is>
      </c>
      <c r="I240" t="n">
        <v>1.2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s="2" t="inlineStr"/>
    </row>
    <row r="241" ht="15" customHeight="1">
      <c r="A241" t="inlineStr">
        <is>
          <t>A 58815-2024</t>
        </is>
      </c>
      <c r="B241" t="inlineStr">
        <is>
          <t>avverkningsanmälan</t>
        </is>
      </c>
      <c r="C241" t="inlineStr">
        <is>
          <t>Föryngringsavverkning</t>
        </is>
      </c>
      <c r="D241" s="1" t="n">
        <v>45636</v>
      </c>
      <c r="E241" s="1" t="n">
        <v>46320</v>
      </c>
      <c r="F241" t="inlineStr">
        <is>
          <t>VÄRMLANDS LÄN</t>
        </is>
      </c>
      <c r="G241" t="inlineStr">
        <is>
          <t>EDA</t>
        </is>
      </c>
      <c r="H241" t="inlineStr">
        <is>
          <t>Bergvik skog väst AB</t>
        </is>
      </c>
      <c r="I241" t="n">
        <v>1.5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s="2" t="inlineStr"/>
    </row>
    <row r="242" ht="15" customHeight="1">
      <c r="A242" t="inlineStr">
        <is>
          <t>A 28394-2026</t>
        </is>
      </c>
      <c r="B242" t="inlineStr">
        <is>
          <t>avverkningsanmälan</t>
        </is>
      </c>
      <c r="C242" t="inlineStr">
        <is>
          <t>Avverkning för annat ändamål</t>
        </is>
      </c>
      <c r="D242" s="1" t="n">
        <v>46196</v>
      </c>
      <c r="E242" s="1" t="n">
        <v>46320</v>
      </c>
      <c r="F242" t="inlineStr">
        <is>
          <t>VÄRMLANDS LÄN</t>
        </is>
      </c>
      <c r="G242" t="inlineStr">
        <is>
          <t>EDA</t>
        </is>
      </c>
      <c r="I242" t="n">
        <v>0.2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s="2" t="inlineStr"/>
    </row>
    <row r="243" ht="15" customHeight="1">
      <c r="A243" t="inlineStr">
        <is>
          <t>A 50831-2022</t>
        </is>
      </c>
      <c r="B243" t="inlineStr">
        <is>
          <t>avverkningsanmälan</t>
        </is>
      </c>
      <c r="C243" t="inlineStr">
        <is>
          <t>Föryngringsavverkning</t>
        </is>
      </c>
      <c r="D243" s="1" t="n">
        <v>44867</v>
      </c>
      <c r="E243" s="1" t="n">
        <v>46320</v>
      </c>
      <c r="F243" t="inlineStr">
        <is>
          <t>VÄRMLANDS LÄN</t>
        </is>
      </c>
      <c r="G243" t="inlineStr">
        <is>
          <t>EDA</t>
        </is>
      </c>
      <c r="I243" t="n">
        <v>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s="2" t="inlineStr"/>
    </row>
    <row r="244" ht="15" customHeight="1">
      <c r="A244" t="inlineStr">
        <is>
          <t>A 56511-2025</t>
        </is>
      </c>
      <c r="B244" t="inlineStr">
        <is>
          <t>avverkningsanmälan</t>
        </is>
      </c>
      <c r="C244" t="inlineStr">
        <is>
          <t>Avverkning för annat ändamål</t>
        </is>
      </c>
      <c r="D244" s="1" t="n">
        <v>45975</v>
      </c>
      <c r="E244" s="1" t="n">
        <v>46320</v>
      </c>
      <c r="F244" t="inlineStr">
        <is>
          <t>VÄRMLANDS LÄN</t>
        </is>
      </c>
      <c r="G244" t="inlineStr">
        <is>
          <t>EDA</t>
        </is>
      </c>
      <c r="I244" t="n">
        <v>0.5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s="2" t="inlineStr"/>
    </row>
    <row r="245" ht="15" customHeight="1">
      <c r="A245" t="inlineStr">
        <is>
          <t>A 28960-2026</t>
        </is>
      </c>
      <c r="B245" t="inlineStr">
        <is>
          <t>avverkningsanmälan</t>
        </is>
      </c>
      <c r="C245" t="inlineStr">
        <is>
          <t>Föryngringsavverkning</t>
        </is>
      </c>
      <c r="D245" s="1" t="n">
        <v>46199</v>
      </c>
      <c r="E245" s="1" t="n">
        <v>46320</v>
      </c>
      <c r="F245" t="inlineStr">
        <is>
          <t>VÄRMLANDS LÄN</t>
        </is>
      </c>
      <c r="G245" t="inlineStr">
        <is>
          <t>EDA</t>
        </is>
      </c>
      <c r="I245" t="n">
        <v>5.2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s="2" t="inlineStr"/>
    </row>
    <row r="246" ht="15" customHeight="1">
      <c r="A246" t="inlineStr">
        <is>
          <t>A 28965-2026</t>
        </is>
      </c>
      <c r="B246" t="inlineStr">
        <is>
          <t>avverkningsanmälan</t>
        </is>
      </c>
      <c r="C246" t="inlineStr">
        <is>
          <t>Föryngringsavverkning</t>
        </is>
      </c>
      <c r="D246" s="1" t="n">
        <v>46199</v>
      </c>
      <c r="E246" s="1" t="n">
        <v>46320</v>
      </c>
      <c r="F246" t="inlineStr">
        <is>
          <t>VÄRMLANDS LÄN</t>
        </is>
      </c>
      <c r="G246" t="inlineStr">
        <is>
          <t>EDA</t>
        </is>
      </c>
      <c r="I246" t="n">
        <v>5.7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s="2" t="inlineStr"/>
    </row>
    <row r="247" ht="15" customHeight="1">
      <c r="A247" t="inlineStr">
        <is>
          <t>A 29020-2026</t>
        </is>
      </c>
      <c r="B247" t="inlineStr">
        <is>
          <t>avverkningsanmälan</t>
        </is>
      </c>
      <c r="C247" t="inlineStr">
        <is>
          <t>Föryngringsavverkning</t>
        </is>
      </c>
      <c r="D247" s="1" t="n">
        <v>46199</v>
      </c>
      <c r="E247" s="1" t="n">
        <v>46320</v>
      </c>
      <c r="F247" t="inlineStr">
        <is>
          <t>VÄRMLANDS LÄN</t>
        </is>
      </c>
      <c r="G247" t="inlineStr">
        <is>
          <t>EDA</t>
        </is>
      </c>
      <c r="I247" t="n">
        <v>1.2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s="2" t="inlineStr"/>
    </row>
    <row r="248" ht="15" customHeight="1">
      <c r="A248" t="inlineStr">
        <is>
          <t>A 29013-2026</t>
        </is>
      </c>
      <c r="B248" t="inlineStr">
        <is>
          <t>avverkningsanmälan</t>
        </is>
      </c>
      <c r="C248" t="inlineStr">
        <is>
          <t>Föryngringsavverkning</t>
        </is>
      </c>
      <c r="D248" s="1" t="n">
        <v>46199</v>
      </c>
      <c r="E248" s="1" t="n">
        <v>46320</v>
      </c>
      <c r="F248" t="inlineStr">
        <is>
          <t>VÄRMLANDS LÄN</t>
        </is>
      </c>
      <c r="G248" t="inlineStr">
        <is>
          <t>EDA</t>
        </is>
      </c>
      <c r="I248" t="n">
        <v>1.7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s="2" t="inlineStr"/>
    </row>
    <row r="249" ht="15" customHeight="1">
      <c r="A249" t="inlineStr">
        <is>
          <t>A 36157-2023</t>
        </is>
      </c>
      <c r="B249" t="inlineStr">
        <is>
          <t>avverkningsanmälan</t>
        </is>
      </c>
      <c r="C249" t="inlineStr">
        <is>
          <t>Avverkning för annat ändamål</t>
        </is>
      </c>
      <c r="D249" s="1" t="n">
        <v>45149</v>
      </c>
      <c r="E249" s="1" t="n">
        <v>46320</v>
      </c>
      <c r="F249" t="inlineStr">
        <is>
          <t>VÄRMLANDS LÄN</t>
        </is>
      </c>
      <c r="G249" t="inlineStr">
        <is>
          <t>EDA</t>
        </is>
      </c>
      <c r="H249" t="inlineStr">
        <is>
          <t>Kommuner</t>
        </is>
      </c>
      <c r="I249" t="n">
        <v>0.2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s="2" t="inlineStr"/>
    </row>
    <row r="250" ht="15" customHeight="1">
      <c r="A250" t="inlineStr">
        <is>
          <t>A 29029-2026</t>
        </is>
      </c>
      <c r="B250" t="inlineStr">
        <is>
          <t>avverkningsanmälan</t>
        </is>
      </c>
      <c r="C250" t="inlineStr">
        <is>
          <t>Föryngringsavverkning</t>
        </is>
      </c>
      <c r="D250" s="1" t="n">
        <v>46199</v>
      </c>
      <c r="E250" s="1" t="n">
        <v>46320</v>
      </c>
      <c r="F250" t="inlineStr">
        <is>
          <t>VÄRMLANDS LÄN</t>
        </is>
      </c>
      <c r="G250" t="inlineStr">
        <is>
          <t>EDA</t>
        </is>
      </c>
      <c r="I250" t="n">
        <v>1.4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s="2" t="inlineStr"/>
    </row>
    <row r="251" ht="15" customHeight="1">
      <c r="A251" t="inlineStr">
        <is>
          <t>A 28971-2026</t>
        </is>
      </c>
      <c r="B251" t="inlineStr">
        <is>
          <t>avverkningsanmälan</t>
        </is>
      </c>
      <c r="C251" t="inlineStr">
        <is>
          <t>Föryngringsavverkning</t>
        </is>
      </c>
      <c r="D251" s="1" t="n">
        <v>46199</v>
      </c>
      <c r="E251" s="1" t="n">
        <v>46320</v>
      </c>
      <c r="F251" t="inlineStr">
        <is>
          <t>VÄRMLANDS LÄN</t>
        </is>
      </c>
      <c r="G251" t="inlineStr">
        <is>
          <t>EDA</t>
        </is>
      </c>
      <c r="I251" t="n">
        <v>9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s="2" t="inlineStr"/>
    </row>
    <row r="252" ht="15" customHeight="1">
      <c r="A252" t="inlineStr">
        <is>
          <t>A 57433-2025</t>
        </is>
      </c>
      <c r="B252" t="inlineStr">
        <is>
          <t>avverkningsanmälan</t>
        </is>
      </c>
      <c r="C252" t="inlineStr">
        <is>
          <t>Föryngringsavverkning</t>
        </is>
      </c>
      <c r="D252" s="1" t="n">
        <v>45980</v>
      </c>
      <c r="E252" s="1" t="n">
        <v>46320</v>
      </c>
      <c r="F252" t="inlineStr">
        <is>
          <t>VÄRMLANDS LÄN</t>
        </is>
      </c>
      <c r="G252" t="inlineStr">
        <is>
          <t>EDA</t>
        </is>
      </c>
      <c r="I252" t="n">
        <v>1.4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s="2" t="inlineStr"/>
    </row>
    <row r="253" ht="15" customHeight="1">
      <c r="A253" t="inlineStr">
        <is>
          <t>A 3434-2025</t>
        </is>
      </c>
      <c r="B253" t="inlineStr">
        <is>
          <t>avverkningsanmälan</t>
        </is>
      </c>
      <c r="C253" t="inlineStr">
        <is>
          <t>Föryngringsavverkning</t>
        </is>
      </c>
      <c r="D253" s="1" t="n">
        <v>45680</v>
      </c>
      <c r="E253" s="1" t="n">
        <v>46320</v>
      </c>
      <c r="F253" t="inlineStr">
        <is>
          <t>VÄRMLANDS LÄN</t>
        </is>
      </c>
      <c r="G253" t="inlineStr">
        <is>
          <t>EDA</t>
        </is>
      </c>
      <c r="I253" t="n">
        <v>0.6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s="2" t="inlineStr"/>
    </row>
    <row r="254" ht="15" customHeight="1">
      <c r="A254" t="inlineStr">
        <is>
          <t>A 12281-2025</t>
        </is>
      </c>
      <c r="B254" t="inlineStr">
        <is>
          <t>avverkningsanmälan</t>
        </is>
      </c>
      <c r="C254" t="inlineStr">
        <is>
          <t>Föryngringsavverkning</t>
        </is>
      </c>
      <c r="D254" s="1" t="n">
        <v>45729</v>
      </c>
      <c r="E254" s="1" t="n">
        <v>46320</v>
      </c>
      <c r="F254" t="inlineStr">
        <is>
          <t>VÄRMLANDS LÄN</t>
        </is>
      </c>
      <c r="G254" t="inlineStr">
        <is>
          <t>EDA</t>
        </is>
      </c>
      <c r="I254" t="n">
        <v>2.2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s="2" t="inlineStr"/>
    </row>
    <row r="255" ht="15" customHeight="1">
      <c r="A255" t="inlineStr">
        <is>
          <t>A 29122-2024</t>
        </is>
      </c>
      <c r="B255" t="inlineStr">
        <is>
          <t>avverkningsanmälan</t>
        </is>
      </c>
      <c r="C255" t="inlineStr">
        <is>
          <t>Föryngringsavverkning</t>
        </is>
      </c>
      <c r="D255" s="1" t="n">
        <v>45482</v>
      </c>
      <c r="E255" s="1" t="n">
        <v>46320</v>
      </c>
      <c r="F255" t="inlineStr">
        <is>
          <t>VÄRMLANDS LÄN</t>
        </is>
      </c>
      <c r="G255" t="inlineStr">
        <is>
          <t>EDA</t>
        </is>
      </c>
      <c r="I255" t="n">
        <v>2.2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s="2" t="inlineStr"/>
    </row>
    <row r="256" ht="15" customHeight="1">
      <c r="A256" t="inlineStr">
        <is>
          <t>A 57639-2025</t>
        </is>
      </c>
      <c r="B256" t="inlineStr">
        <is>
          <t>avverkningsanmälan</t>
        </is>
      </c>
      <c r="C256" t="inlineStr">
        <is>
          <t>Föryngringsavverkning</t>
        </is>
      </c>
      <c r="D256" s="1" t="n">
        <v>45981</v>
      </c>
      <c r="E256" s="1" t="n">
        <v>46320</v>
      </c>
      <c r="F256" t="inlineStr">
        <is>
          <t>VÄRMLANDS LÄN</t>
        </is>
      </c>
      <c r="G256" t="inlineStr">
        <is>
          <t>EDA</t>
        </is>
      </c>
      <c r="I256" t="n">
        <v>2.2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s="2" t="inlineStr"/>
    </row>
    <row r="257" ht="15" customHeight="1">
      <c r="A257" t="inlineStr">
        <is>
          <t>A 57641-2025</t>
        </is>
      </c>
      <c r="B257" t="inlineStr">
        <is>
          <t>avverkningsanmälan</t>
        </is>
      </c>
      <c r="C257" t="inlineStr">
        <is>
          <t>Föryngringsavverkning</t>
        </is>
      </c>
      <c r="D257" s="1" t="n">
        <v>45981</v>
      </c>
      <c r="E257" s="1" t="n">
        <v>46320</v>
      </c>
      <c r="F257" t="inlineStr">
        <is>
          <t>VÄRMLANDS LÄN</t>
        </is>
      </c>
      <c r="G257" t="inlineStr">
        <is>
          <t>EDA</t>
        </is>
      </c>
      <c r="I257" t="n">
        <v>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s="2" t="inlineStr"/>
    </row>
    <row r="258" ht="15" customHeight="1">
      <c r="A258" t="inlineStr">
        <is>
          <t>A 29453-2026</t>
        </is>
      </c>
      <c r="B258" t="inlineStr">
        <is>
          <t>avverkningsanmälan</t>
        </is>
      </c>
      <c r="C258" t="inlineStr">
        <is>
          <t>Avverkning för annat ändamål</t>
        </is>
      </c>
      <c r="D258" s="1" t="n">
        <v>46203</v>
      </c>
      <c r="E258" s="1" t="n">
        <v>46320</v>
      </c>
      <c r="F258" t="inlineStr">
        <is>
          <t>VÄRMLANDS LÄN</t>
        </is>
      </c>
      <c r="G258" t="inlineStr">
        <is>
          <t>EDA</t>
        </is>
      </c>
      <c r="I258" t="n">
        <v>0.3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s="2" t="inlineStr"/>
    </row>
    <row r="259" ht="15" customHeight="1">
      <c r="A259" t="inlineStr">
        <is>
          <t>A 29454-2026</t>
        </is>
      </c>
      <c r="B259" t="inlineStr">
        <is>
          <t>avverkningsanmälan</t>
        </is>
      </c>
      <c r="C259" t="inlineStr">
        <is>
          <t>Föryngringsavverkning</t>
        </is>
      </c>
      <c r="D259" s="1" t="n">
        <v>46203</v>
      </c>
      <c r="E259" s="1" t="n">
        <v>46320</v>
      </c>
      <c r="F259" t="inlineStr">
        <is>
          <t>VÄRMLANDS LÄN</t>
        </is>
      </c>
      <c r="G259" t="inlineStr">
        <is>
          <t>EDA</t>
        </is>
      </c>
      <c r="I259" t="n">
        <v>3.4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s="2" t="inlineStr"/>
    </row>
    <row r="260" ht="15" customHeight="1">
      <c r="A260" t="inlineStr">
        <is>
          <t>A 28197-2024</t>
        </is>
      </c>
      <c r="B260" t="inlineStr">
        <is>
          <t>avverkningsanmälan</t>
        </is>
      </c>
      <c r="C260" t="inlineStr">
        <is>
          <t>Avverkning för annat ändamål</t>
        </is>
      </c>
      <c r="D260" s="1" t="n">
        <v>45477</v>
      </c>
      <c r="E260" s="1" t="n">
        <v>46320</v>
      </c>
      <c r="F260" t="inlineStr">
        <is>
          <t>VÄRMLANDS LÄN</t>
        </is>
      </c>
      <c r="G260" t="inlineStr">
        <is>
          <t>EDA</t>
        </is>
      </c>
      <c r="I260" t="n">
        <v>0.7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s="2" t="inlineStr"/>
    </row>
    <row r="261" ht="15" customHeight="1">
      <c r="A261" t="inlineStr">
        <is>
          <t>A 29380-2026</t>
        </is>
      </c>
      <c r="B261" t="inlineStr">
        <is>
          <t>avverkningsanmälan</t>
        </is>
      </c>
      <c r="C261" t="inlineStr">
        <is>
          <t>Föryngringsavverkning</t>
        </is>
      </c>
      <c r="D261" s="1" t="n">
        <v>46203</v>
      </c>
      <c r="E261" s="1" t="n">
        <v>46320</v>
      </c>
      <c r="F261" t="inlineStr">
        <is>
          <t>VÄRMLANDS LÄN</t>
        </is>
      </c>
      <c r="G261" t="inlineStr">
        <is>
          <t>EDA</t>
        </is>
      </c>
      <c r="I261" t="n">
        <v>2.1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s="2" t="inlineStr"/>
    </row>
    <row r="262" ht="15" customHeight="1">
      <c r="A262" t="inlineStr">
        <is>
          <t>A 17259-2025</t>
        </is>
      </c>
      <c r="B262" t="inlineStr">
        <is>
          <t>avverkningsanmälan</t>
        </is>
      </c>
      <c r="C262" t="inlineStr">
        <is>
          <t>Föryngringsavverkning</t>
        </is>
      </c>
      <c r="D262" s="1" t="n">
        <v>45756</v>
      </c>
      <c r="E262" s="1" t="n">
        <v>46320</v>
      </c>
      <c r="F262" t="inlineStr">
        <is>
          <t>VÄRMLANDS LÄN</t>
        </is>
      </c>
      <c r="G262" t="inlineStr">
        <is>
          <t>EDA</t>
        </is>
      </c>
      <c r="I262" t="n">
        <v>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s="2" t="inlineStr"/>
    </row>
    <row r="263" ht="15" customHeight="1">
      <c r="A263" t="inlineStr">
        <is>
          <t>A 17262-2025</t>
        </is>
      </c>
      <c r="B263" t="inlineStr">
        <is>
          <t>avverkningsanmälan</t>
        </is>
      </c>
      <c r="C263" t="inlineStr">
        <is>
          <t>Föryngringsavverkning</t>
        </is>
      </c>
      <c r="D263" s="1" t="n">
        <v>45756</v>
      </c>
      <c r="E263" s="1" t="n">
        <v>46320</v>
      </c>
      <c r="F263" t="inlineStr">
        <is>
          <t>VÄRMLANDS LÄN</t>
        </is>
      </c>
      <c r="G263" t="inlineStr">
        <is>
          <t>EDA</t>
        </is>
      </c>
      <c r="I263" t="n">
        <v>1.9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s="2" t="inlineStr"/>
    </row>
    <row r="264" ht="15" customHeight="1">
      <c r="A264" t="inlineStr">
        <is>
          <t>A 2650-2025</t>
        </is>
      </c>
      <c r="B264" t="inlineStr">
        <is>
          <t>avverkningsanmälan</t>
        </is>
      </c>
      <c r="C264" t="inlineStr">
        <is>
          <t>Föryngringsavverkning</t>
        </is>
      </c>
      <c r="D264" s="1" t="n">
        <v>45676</v>
      </c>
      <c r="E264" s="1" t="n">
        <v>46320</v>
      </c>
      <c r="F264" t="inlineStr">
        <is>
          <t>VÄRMLANDS LÄN</t>
        </is>
      </c>
      <c r="G264" t="inlineStr">
        <is>
          <t>EDA</t>
        </is>
      </c>
      <c r="I264" t="n">
        <v>1.5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s="2" t="inlineStr"/>
    </row>
    <row r="265" ht="15" customHeight="1">
      <c r="A265" t="inlineStr">
        <is>
          <t>A 57892-2025</t>
        </is>
      </c>
      <c r="B265" t="inlineStr">
        <is>
          <t>avverkningsanmälan</t>
        </is>
      </c>
      <c r="C265" t="inlineStr">
        <is>
          <t>Föryngringsavverkning</t>
        </is>
      </c>
      <c r="D265" s="1" t="n">
        <v>45981</v>
      </c>
      <c r="E265" s="1" t="n">
        <v>46320</v>
      </c>
      <c r="F265" t="inlineStr">
        <is>
          <t>VÄRMLANDS LÄN</t>
        </is>
      </c>
      <c r="G265" t="inlineStr">
        <is>
          <t>EDA</t>
        </is>
      </c>
      <c r="I265" t="n">
        <v>0.7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s="2" t="inlineStr"/>
    </row>
    <row r="266" ht="15" customHeight="1">
      <c r="A266" t="inlineStr">
        <is>
          <t>A 57894-2025</t>
        </is>
      </c>
      <c r="B266" t="inlineStr">
        <is>
          <t>avverkningsanmälan</t>
        </is>
      </c>
      <c r="C266" t="inlineStr">
        <is>
          <t>Föryngringsavverkning</t>
        </is>
      </c>
      <c r="D266" s="1" t="n">
        <v>45981</v>
      </c>
      <c r="E266" s="1" t="n">
        <v>46320</v>
      </c>
      <c r="F266" t="inlineStr">
        <is>
          <t>VÄRMLANDS LÄN</t>
        </is>
      </c>
      <c r="G266" t="inlineStr">
        <is>
          <t>EDA</t>
        </is>
      </c>
      <c r="I266" t="n">
        <v>1.2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s="2" t="inlineStr"/>
    </row>
    <row r="267" ht="15" customHeight="1">
      <c r="A267" t="inlineStr">
        <is>
          <t>A 57599-2023</t>
        </is>
      </c>
      <c r="B267" t="inlineStr">
        <is>
          <t>avverkningsanmälan</t>
        </is>
      </c>
      <c r="C267" t="inlineStr">
        <is>
          <t>Föryngringsavverkning</t>
        </is>
      </c>
      <c r="D267" s="1" t="n">
        <v>45246</v>
      </c>
      <c r="E267" s="1" t="n">
        <v>46320</v>
      </c>
      <c r="F267" t="inlineStr">
        <is>
          <t>VÄRMLANDS LÄN</t>
        </is>
      </c>
      <c r="G267" t="inlineStr">
        <is>
          <t>EDA</t>
        </is>
      </c>
      <c r="I267" t="n">
        <v>0.7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s="2" t="inlineStr"/>
    </row>
    <row r="268" ht="15" customHeight="1">
      <c r="A268" t="inlineStr">
        <is>
          <t>A 36298-2023</t>
        </is>
      </c>
      <c r="B268" t="inlineStr">
        <is>
          <t>avverkningsanmälan</t>
        </is>
      </c>
      <c r="C268" t="inlineStr">
        <is>
          <t>Föryngringsavverkning</t>
        </is>
      </c>
      <c r="D268" s="1" t="n">
        <v>45152</v>
      </c>
      <c r="E268" s="1" t="n">
        <v>46320</v>
      </c>
      <c r="F268" t="inlineStr">
        <is>
          <t>VÄRMLANDS LÄN</t>
        </is>
      </c>
      <c r="G268" t="inlineStr">
        <is>
          <t>EDA</t>
        </is>
      </c>
      <c r="I268" t="n">
        <v>2.1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s="2" t="inlineStr"/>
    </row>
    <row r="269" ht="15" customHeight="1">
      <c r="A269" t="inlineStr">
        <is>
          <t>A 61952-2022</t>
        </is>
      </c>
      <c r="B269" t="inlineStr">
        <is>
          <t>avverkningsanmälan</t>
        </is>
      </c>
      <c r="C269" t="inlineStr">
        <is>
          <t>Föryngringsavverkning</t>
        </is>
      </c>
      <c r="D269" s="1" t="n">
        <v>44918</v>
      </c>
      <c r="E269" s="1" t="n">
        <v>46320</v>
      </c>
      <c r="F269" t="inlineStr">
        <is>
          <t>VÄRMLANDS LÄN</t>
        </is>
      </c>
      <c r="G269" t="inlineStr">
        <is>
          <t>EDA</t>
        </is>
      </c>
      <c r="I269" t="n">
        <v>1.9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s="2" t="inlineStr"/>
    </row>
    <row r="270" ht="15" customHeight="1">
      <c r="A270" t="inlineStr">
        <is>
          <t>A 51468-2023</t>
        </is>
      </c>
      <c r="B270" t="inlineStr">
        <is>
          <t>avverkningsanmälan</t>
        </is>
      </c>
      <c r="C270" t="inlineStr">
        <is>
          <t>Föryngringsavverkning</t>
        </is>
      </c>
      <c r="D270" s="1" t="n">
        <v>45221</v>
      </c>
      <c r="E270" s="1" t="n">
        <v>46320</v>
      </c>
      <c r="F270" t="inlineStr">
        <is>
          <t>VÄRMLANDS LÄN</t>
        </is>
      </c>
      <c r="G270" t="inlineStr">
        <is>
          <t>EDA</t>
        </is>
      </c>
      <c r="H270" t="inlineStr">
        <is>
          <t>Kommuner</t>
        </is>
      </c>
      <c r="I270" t="n">
        <v>0.9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s="2" t="inlineStr"/>
    </row>
    <row r="271" ht="15" customHeight="1">
      <c r="A271" t="inlineStr">
        <is>
          <t>A 51469-2023</t>
        </is>
      </c>
      <c r="B271" t="inlineStr">
        <is>
          <t>avverkningsanmälan</t>
        </is>
      </c>
      <c r="C271" t="inlineStr">
        <is>
          <t>Föryngringsavverkning</t>
        </is>
      </c>
      <c r="D271" s="1" t="n">
        <v>45221</v>
      </c>
      <c r="E271" s="1" t="n">
        <v>46320</v>
      </c>
      <c r="F271" t="inlineStr">
        <is>
          <t>VÄRMLANDS LÄN</t>
        </is>
      </c>
      <c r="G271" t="inlineStr">
        <is>
          <t>EDA</t>
        </is>
      </c>
      <c r="H271" t="inlineStr">
        <is>
          <t>Kommuner</t>
        </is>
      </c>
      <c r="I271" t="n">
        <v>0.8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s="2" t="inlineStr"/>
    </row>
    <row r="272" ht="15" customHeight="1">
      <c r="A272" t="inlineStr">
        <is>
          <t>A 60034-2025</t>
        </is>
      </c>
      <c r="B272" t="inlineStr">
        <is>
          <t>avverkningsanmälan</t>
        </is>
      </c>
      <c r="C272" t="inlineStr">
        <is>
          <t>Föryngringsavverkning</t>
        </is>
      </c>
      <c r="D272" s="1" t="n">
        <v>45992</v>
      </c>
      <c r="E272" s="1" t="n">
        <v>46320</v>
      </c>
      <c r="F272" t="inlineStr">
        <is>
          <t>VÄRMLANDS LÄN</t>
        </is>
      </c>
      <c r="G272" t="inlineStr">
        <is>
          <t>EDA</t>
        </is>
      </c>
      <c r="I272" t="n">
        <v>3.2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s="2" t="inlineStr"/>
    </row>
    <row r="273" ht="15" customHeight="1">
      <c r="A273" t="inlineStr">
        <is>
          <t>A 57586-2025</t>
        </is>
      </c>
      <c r="B273" t="inlineStr">
        <is>
          <t>avverkningsanmälan</t>
        </is>
      </c>
      <c r="C273" t="inlineStr">
        <is>
          <t>Föryngringsavverkning</t>
        </is>
      </c>
      <c r="D273" s="1" t="n">
        <v>45980</v>
      </c>
      <c r="E273" s="1" t="n">
        <v>46320</v>
      </c>
      <c r="F273" t="inlineStr">
        <is>
          <t>VÄRMLANDS LÄN</t>
        </is>
      </c>
      <c r="G273" t="inlineStr">
        <is>
          <t>EDA</t>
        </is>
      </c>
      <c r="I273" t="n">
        <v>3.2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s="2" t="inlineStr"/>
    </row>
    <row r="274" ht="15" customHeight="1">
      <c r="A274" t="inlineStr">
        <is>
          <t>A 52823-2023</t>
        </is>
      </c>
      <c r="B274" t="inlineStr">
        <is>
          <t>avverkningsanmälan</t>
        </is>
      </c>
      <c r="C274" t="inlineStr">
        <is>
          <t>Föryngringsavverkning</t>
        </is>
      </c>
      <c r="D274" s="1" t="n">
        <v>45226</v>
      </c>
      <c r="E274" s="1" t="n">
        <v>46320</v>
      </c>
      <c r="F274" t="inlineStr">
        <is>
          <t>VÄRMLANDS LÄN</t>
        </is>
      </c>
      <c r="G274" t="inlineStr">
        <is>
          <t>EDA</t>
        </is>
      </c>
      <c r="I274" t="n">
        <v>1.1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s="2" t="inlineStr"/>
    </row>
    <row r="275" ht="15" customHeight="1">
      <c r="A275" t="inlineStr">
        <is>
          <t>A 60037-2025</t>
        </is>
      </c>
      <c r="B275" t="inlineStr">
        <is>
          <t>avverkningsanmälan</t>
        </is>
      </c>
      <c r="C275" t="inlineStr">
        <is>
          <t>Föryngringsavverkning</t>
        </is>
      </c>
      <c r="D275" s="1" t="n">
        <v>45992</v>
      </c>
      <c r="E275" s="1" t="n">
        <v>46320</v>
      </c>
      <c r="F275" t="inlineStr">
        <is>
          <t>VÄRMLANDS LÄN</t>
        </is>
      </c>
      <c r="G275" t="inlineStr">
        <is>
          <t>EDA</t>
        </is>
      </c>
      <c r="I275" t="n">
        <v>3.2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s="2" t="inlineStr"/>
    </row>
    <row r="276" ht="15" customHeight="1">
      <c r="A276" t="inlineStr">
        <is>
          <t>A 5735-2025</t>
        </is>
      </c>
      <c r="B276" t="inlineStr">
        <is>
          <t>avverkningsanmälan</t>
        </is>
      </c>
      <c r="C276" t="inlineStr">
        <is>
          <t>Föryngringsavverkning</t>
        </is>
      </c>
      <c r="D276" s="1" t="n">
        <v>45694</v>
      </c>
      <c r="E276" s="1" t="n">
        <v>46320</v>
      </c>
      <c r="F276" t="inlineStr">
        <is>
          <t>VÄRMLANDS LÄN</t>
        </is>
      </c>
      <c r="G276" t="inlineStr">
        <is>
          <t>EDA</t>
        </is>
      </c>
      <c r="I276" t="n">
        <v>4.4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s="2" t="inlineStr"/>
    </row>
    <row r="277" ht="15" customHeight="1">
      <c r="A277" t="inlineStr">
        <is>
          <t>A 57136-2023</t>
        </is>
      </c>
      <c r="B277" t="inlineStr">
        <is>
          <t>avverkningsanmälan</t>
        </is>
      </c>
      <c r="C277" t="inlineStr">
        <is>
          <t>Föryngringsavverkning</t>
        </is>
      </c>
      <c r="D277" s="1" t="n">
        <v>45245</v>
      </c>
      <c r="E277" s="1" t="n">
        <v>46320</v>
      </c>
      <c r="F277" t="inlineStr">
        <is>
          <t>VÄRMLANDS LÄN</t>
        </is>
      </c>
      <c r="G277" t="inlineStr">
        <is>
          <t>EDA</t>
        </is>
      </c>
      <c r="H277" t="inlineStr">
        <is>
          <t>Övriga Aktiebolag</t>
        </is>
      </c>
      <c r="I277" t="n">
        <v>1.8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s="2" t="inlineStr"/>
    </row>
    <row r="278" ht="15" customHeight="1">
      <c r="A278" t="inlineStr">
        <is>
          <t>A 12286-2025</t>
        </is>
      </c>
      <c r="B278" t="inlineStr">
        <is>
          <t>avverkningsanmälan</t>
        </is>
      </c>
      <c r="C278" t="inlineStr">
        <is>
          <t>Föryngringsavverkning</t>
        </is>
      </c>
      <c r="D278" s="1" t="n">
        <v>45729</v>
      </c>
      <c r="E278" s="1" t="n">
        <v>46320</v>
      </c>
      <c r="F278" t="inlineStr">
        <is>
          <t>VÄRMLANDS LÄN</t>
        </is>
      </c>
      <c r="G278" t="inlineStr">
        <is>
          <t>EDA</t>
        </is>
      </c>
      <c r="I278" t="n">
        <v>2.7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s="2" t="inlineStr"/>
    </row>
    <row r="279" ht="15" customHeight="1">
      <c r="A279" t="inlineStr">
        <is>
          <t>A 59350-2023</t>
        </is>
      </c>
      <c r="B279" t="inlineStr">
        <is>
          <t>avverkningsanmälan</t>
        </is>
      </c>
      <c r="C279" t="inlineStr">
        <is>
          <t>Föryngringsavverkning</t>
        </is>
      </c>
      <c r="D279" s="1" t="n">
        <v>45252</v>
      </c>
      <c r="E279" s="1" t="n">
        <v>46320</v>
      </c>
      <c r="F279" t="inlineStr">
        <is>
          <t>VÄRMLANDS LÄN</t>
        </is>
      </c>
      <c r="G279" t="inlineStr">
        <is>
          <t>EDA</t>
        </is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s="2" t="inlineStr"/>
    </row>
    <row r="280" ht="15" customHeight="1">
      <c r="A280" t="inlineStr">
        <is>
          <t>A 3975-2025</t>
        </is>
      </c>
      <c r="B280" t="inlineStr">
        <is>
          <t>avverkningsanmälan</t>
        </is>
      </c>
      <c r="C280" t="inlineStr">
        <is>
          <t>Föryngringsavverkning</t>
        </is>
      </c>
      <c r="D280" s="1" t="n">
        <v>45684</v>
      </c>
      <c r="E280" s="1" t="n">
        <v>46320</v>
      </c>
      <c r="F280" t="inlineStr">
        <is>
          <t>VÄRMLANDS LÄN</t>
        </is>
      </c>
      <c r="G280" t="inlineStr">
        <is>
          <t>EDA</t>
        </is>
      </c>
      <c r="I280" t="n">
        <v>0.7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s="2" t="inlineStr"/>
    </row>
    <row r="281" ht="15" customHeight="1">
      <c r="A281" t="inlineStr">
        <is>
          <t>A 60151-2025</t>
        </is>
      </c>
      <c r="B281" t="inlineStr">
        <is>
          <t>avverkningsanmälan</t>
        </is>
      </c>
      <c r="C281" t="inlineStr">
        <is>
          <t>Föryngringsavverkning</t>
        </is>
      </c>
      <c r="D281" s="1" t="n">
        <v>45994</v>
      </c>
      <c r="E281" s="1" t="n">
        <v>46320</v>
      </c>
      <c r="F281" t="inlineStr">
        <is>
          <t>VÄRMLANDS LÄN</t>
        </is>
      </c>
      <c r="G281" t="inlineStr">
        <is>
          <t>EDA</t>
        </is>
      </c>
      <c r="I281" t="n">
        <v>3.2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s="2" t="inlineStr"/>
    </row>
    <row r="282" ht="15" customHeight="1">
      <c r="A282" t="inlineStr">
        <is>
          <t>A 34393-2024</t>
        </is>
      </c>
      <c r="B282" t="inlineStr">
        <is>
          <t>avverkningsanmälan</t>
        </is>
      </c>
      <c r="C282" t="inlineStr">
        <is>
          <t>Föryngringsavverkning</t>
        </is>
      </c>
      <c r="D282" s="1" t="n">
        <v>45525</v>
      </c>
      <c r="E282" s="1" t="n">
        <v>46320</v>
      </c>
      <c r="F282" t="inlineStr">
        <is>
          <t>VÄRMLANDS LÄN</t>
        </is>
      </c>
      <c r="G282" t="inlineStr">
        <is>
          <t>EDA</t>
        </is>
      </c>
      <c r="I282" t="n">
        <v>2.6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s="2" t="inlineStr"/>
    </row>
    <row r="283" ht="15" customHeight="1">
      <c r="A283" t="inlineStr">
        <is>
          <t>A 60040-2025</t>
        </is>
      </c>
      <c r="B283" t="inlineStr">
        <is>
          <t>avverkningsanmälan</t>
        </is>
      </c>
      <c r="C283" t="inlineStr">
        <is>
          <t>Föryngringsavverkning</t>
        </is>
      </c>
      <c r="D283" s="1" t="n">
        <v>45992</v>
      </c>
      <c r="E283" s="1" t="n">
        <v>46320</v>
      </c>
      <c r="F283" t="inlineStr">
        <is>
          <t>VÄRMLANDS LÄN</t>
        </is>
      </c>
      <c r="G283" t="inlineStr">
        <is>
          <t>EDA</t>
        </is>
      </c>
      <c r="I283" t="n">
        <v>2.2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s="2" t="inlineStr"/>
    </row>
    <row r="284" ht="15" customHeight="1">
      <c r="A284" t="inlineStr">
        <is>
          <t>A 60153-2025</t>
        </is>
      </c>
      <c r="B284" t="inlineStr">
        <is>
          <t>avverkningsanmälan</t>
        </is>
      </c>
      <c r="C284" t="inlineStr">
        <is>
          <t>Föryngringsavverkning</t>
        </is>
      </c>
      <c r="D284" s="1" t="n">
        <v>45994</v>
      </c>
      <c r="E284" s="1" t="n">
        <v>46320</v>
      </c>
      <c r="F284" t="inlineStr">
        <is>
          <t>VÄRMLANDS LÄN</t>
        </is>
      </c>
      <c r="G284" t="inlineStr">
        <is>
          <t>EDA</t>
        </is>
      </c>
      <c r="I284" t="n">
        <v>3.5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s="2" t="inlineStr"/>
    </row>
    <row r="285" ht="15" customHeight="1">
      <c r="A285" t="inlineStr">
        <is>
          <t>A 60441-2025</t>
        </is>
      </c>
      <c r="B285" t="inlineStr">
        <is>
          <t>avverkningsanmälan</t>
        </is>
      </c>
      <c r="C285" t="inlineStr">
        <is>
          <t>Föryngringsavverkning</t>
        </is>
      </c>
      <c r="D285" s="1" t="n">
        <v>45995</v>
      </c>
      <c r="E285" s="1" t="n">
        <v>46320</v>
      </c>
      <c r="F285" t="inlineStr">
        <is>
          <t>VÄRMLANDS LÄN</t>
        </is>
      </c>
      <c r="G285" t="inlineStr">
        <is>
          <t>EDA</t>
        </is>
      </c>
      <c r="I285" t="n">
        <v>1.7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s="2" t="inlineStr"/>
    </row>
    <row r="286" ht="15" customHeight="1">
      <c r="A286" t="inlineStr">
        <is>
          <t>A 4421-2023</t>
        </is>
      </c>
      <c r="B286" t="inlineStr">
        <is>
          <t>avverkningsanmälan</t>
        </is>
      </c>
      <c r="C286" t="inlineStr">
        <is>
          <t>Föryngringsavverkning</t>
        </is>
      </c>
      <c r="D286" s="1" t="n">
        <v>44956</v>
      </c>
      <c r="E286" s="1" t="n">
        <v>46320</v>
      </c>
      <c r="F286" t="inlineStr">
        <is>
          <t>VÄRMLANDS LÄN</t>
        </is>
      </c>
      <c r="G286" t="inlineStr">
        <is>
          <t>EDA</t>
        </is>
      </c>
      <c r="I286" t="n">
        <v>0.9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s="2" t="inlineStr"/>
    </row>
    <row r="287" ht="15" customHeight="1">
      <c r="A287" t="inlineStr">
        <is>
          <t>A 31244-2026</t>
        </is>
      </c>
      <c r="B287" t="inlineStr">
        <is>
          <t>avverkningsanmälan</t>
        </is>
      </c>
      <c r="C287" t="inlineStr">
        <is>
          <t>Föryngringsavverkning</t>
        </is>
      </c>
      <c r="D287" s="1" t="n">
        <v>46217</v>
      </c>
      <c r="E287" s="1" t="n">
        <v>46320</v>
      </c>
      <c r="F287" t="inlineStr">
        <is>
          <t>VÄRMLANDS LÄN</t>
        </is>
      </c>
      <c r="G287" t="inlineStr">
        <is>
          <t>EDA</t>
        </is>
      </c>
      <c r="I287" t="n">
        <v>3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s="2" t="inlineStr"/>
    </row>
    <row r="288" ht="15" customHeight="1">
      <c r="A288" t="inlineStr">
        <is>
          <t>A 60529-2025</t>
        </is>
      </c>
      <c r="B288" t="inlineStr">
        <is>
          <t>avverkningsanmälan</t>
        </is>
      </c>
      <c r="C288" t="inlineStr">
        <is>
          <t>Föryngringsavverkning</t>
        </is>
      </c>
      <c r="D288" s="1" t="n">
        <v>45995</v>
      </c>
      <c r="E288" s="1" t="n">
        <v>46320</v>
      </c>
      <c r="F288" t="inlineStr">
        <is>
          <t>VÄRMLANDS LÄN</t>
        </is>
      </c>
      <c r="G288" t="inlineStr">
        <is>
          <t>EDA</t>
        </is>
      </c>
      <c r="I288" t="n">
        <v>3.5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s="2" t="inlineStr"/>
    </row>
    <row r="289" ht="15" customHeight="1">
      <c r="A289" t="inlineStr">
        <is>
          <t>A 55810-2024</t>
        </is>
      </c>
      <c r="B289" t="inlineStr">
        <is>
          <t>avverkningsanmälan</t>
        </is>
      </c>
      <c r="C289" t="inlineStr">
        <is>
          <t>Föryngringsavverkning</t>
        </is>
      </c>
      <c r="D289" s="1" t="n">
        <v>45623</v>
      </c>
      <c r="E289" s="1" t="n">
        <v>46320</v>
      </c>
      <c r="F289" t="inlineStr">
        <is>
          <t>VÄRMLANDS LÄN</t>
        </is>
      </c>
      <c r="G289" t="inlineStr">
        <is>
          <t>EDA</t>
        </is>
      </c>
      <c r="I289" t="n">
        <v>3.1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s="2" t="inlineStr"/>
    </row>
    <row r="290" ht="15" customHeight="1">
      <c r="A290" t="inlineStr">
        <is>
          <t>A 31246-2026</t>
        </is>
      </c>
      <c r="B290" t="inlineStr">
        <is>
          <t>avverkningsanmälan</t>
        </is>
      </c>
      <c r="C290" t="inlineStr">
        <is>
          <t>Föryngringsavverkning</t>
        </is>
      </c>
      <c r="D290" s="1" t="n">
        <v>46217</v>
      </c>
      <c r="E290" s="1" t="n">
        <v>46320</v>
      </c>
      <c r="F290" t="inlineStr">
        <is>
          <t>VÄRMLANDS LÄN</t>
        </is>
      </c>
      <c r="G290" t="inlineStr">
        <is>
          <t>EDA</t>
        </is>
      </c>
      <c r="I290" t="n">
        <v>0.5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s="2" t="inlineStr"/>
    </row>
    <row r="291" ht="15" customHeight="1">
      <c r="A291" t="inlineStr">
        <is>
          <t>A 5431-2025</t>
        </is>
      </c>
      <c r="B291" t="inlineStr">
        <is>
          <t>avverkningsanmälan</t>
        </is>
      </c>
      <c r="C291" t="inlineStr">
        <is>
          <t>Avverkning för annat ändamål</t>
        </is>
      </c>
      <c r="D291" s="1" t="n">
        <v>45692</v>
      </c>
      <c r="E291" s="1" t="n">
        <v>46320</v>
      </c>
      <c r="F291" t="inlineStr">
        <is>
          <t>VÄRMLANDS LÄN</t>
        </is>
      </c>
      <c r="G291" t="inlineStr">
        <is>
          <t>EDA</t>
        </is>
      </c>
      <c r="I291" t="n">
        <v>1.4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s="2" t="inlineStr"/>
    </row>
    <row r="292" ht="15" customHeight="1">
      <c r="A292" t="inlineStr">
        <is>
          <t>A 31245-2026</t>
        </is>
      </c>
      <c r="B292" t="inlineStr">
        <is>
          <t>avverkningsanmälan</t>
        </is>
      </c>
      <c r="C292" t="inlineStr">
        <is>
          <t>Föryngringsavverkning</t>
        </is>
      </c>
      <c r="D292" s="1" t="n">
        <v>46217</v>
      </c>
      <c r="E292" s="1" t="n">
        <v>46320</v>
      </c>
      <c r="F292" t="inlineStr">
        <is>
          <t>VÄRMLANDS LÄN</t>
        </is>
      </c>
      <c r="G292" t="inlineStr">
        <is>
          <t>EDA</t>
        </is>
      </c>
      <c r="I292" t="n">
        <v>2.1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s="2" t="inlineStr"/>
    </row>
    <row r="293" ht="15" customHeight="1">
      <c r="A293" t="inlineStr">
        <is>
          <t>A 16486-2024</t>
        </is>
      </c>
      <c r="B293" t="inlineStr">
        <is>
          <t>avverkningsanmälan</t>
        </is>
      </c>
      <c r="C293" t="inlineStr">
        <is>
          <t>Föryngringsavverkning</t>
        </is>
      </c>
      <c r="D293" s="1" t="n">
        <v>45408</v>
      </c>
      <c r="E293" s="1" t="n">
        <v>46320</v>
      </c>
      <c r="F293" t="inlineStr">
        <is>
          <t>VÄRMLANDS LÄN</t>
        </is>
      </c>
      <c r="G293" t="inlineStr">
        <is>
          <t>EDA</t>
        </is>
      </c>
      <c r="I293" t="n">
        <v>0.8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s="2" t="inlineStr"/>
    </row>
    <row r="294" ht="15" customHeight="1">
      <c r="A294" t="inlineStr">
        <is>
          <t>A 61225-2025</t>
        </is>
      </c>
      <c r="B294" t="inlineStr">
        <is>
          <t>avverkningsanmälan</t>
        </is>
      </c>
      <c r="C294" t="inlineStr">
        <is>
          <t>Föryngringsavverkning</t>
        </is>
      </c>
      <c r="D294" s="1" t="n">
        <v>46000</v>
      </c>
      <c r="E294" s="1" t="n">
        <v>46320</v>
      </c>
      <c r="F294" t="inlineStr">
        <is>
          <t>VÄRMLANDS LÄN</t>
        </is>
      </c>
      <c r="G294" t="inlineStr">
        <is>
          <t>EDA</t>
        </is>
      </c>
      <c r="I294" t="n">
        <v>2.7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s="2" t="inlineStr"/>
    </row>
    <row r="295" ht="15" customHeight="1">
      <c r="A295" t="inlineStr">
        <is>
          <t>A 60646-2025</t>
        </is>
      </c>
      <c r="B295" t="inlineStr">
        <is>
          <t>avverkningsanmälan</t>
        </is>
      </c>
      <c r="C295" t="inlineStr">
        <is>
          <t>Föryngringsavverkning</t>
        </is>
      </c>
      <c r="D295" s="1" t="n">
        <v>45996</v>
      </c>
      <c r="E295" s="1" t="n">
        <v>46320</v>
      </c>
      <c r="F295" t="inlineStr">
        <is>
          <t>VÄRMLANDS LÄN</t>
        </is>
      </c>
      <c r="G295" t="inlineStr">
        <is>
          <t>EDA</t>
        </is>
      </c>
      <c r="I295" t="n">
        <v>2.9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s="2" t="inlineStr"/>
    </row>
    <row r="296" ht="15" customHeight="1">
      <c r="A296" t="inlineStr">
        <is>
          <t>A 44674-2023</t>
        </is>
      </c>
      <c r="B296" t="inlineStr">
        <is>
          <t>avverkningsanmälan</t>
        </is>
      </c>
      <c r="C296" t="inlineStr">
        <is>
          <t>Föryngringsavverkning</t>
        </is>
      </c>
      <c r="D296" s="1" t="n">
        <v>45189</v>
      </c>
      <c r="E296" s="1" t="n">
        <v>46320</v>
      </c>
      <c r="F296" t="inlineStr">
        <is>
          <t>VÄRMLANDS LÄN</t>
        </is>
      </c>
      <c r="G296" t="inlineStr">
        <is>
          <t>EDA</t>
        </is>
      </c>
      <c r="I296" t="n">
        <v>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s="2" t="inlineStr"/>
    </row>
    <row r="297" ht="15" customHeight="1">
      <c r="A297" t="inlineStr">
        <is>
          <t>A 70571-2021</t>
        </is>
      </c>
      <c r="B297" t="inlineStr">
        <is>
          <t>avverkningsanmälan</t>
        </is>
      </c>
      <c r="C297" t="inlineStr">
        <is>
          <t>Föryngringsavverkning</t>
        </is>
      </c>
      <c r="D297" s="1" t="n">
        <v>44537</v>
      </c>
      <c r="E297" s="1" t="n">
        <v>46320</v>
      </c>
      <c r="F297" t="inlineStr">
        <is>
          <t>VÄRMLANDS LÄN</t>
        </is>
      </c>
      <c r="G297" t="inlineStr">
        <is>
          <t>EDA</t>
        </is>
      </c>
      <c r="I297" t="n">
        <v>1.3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s="2" t="inlineStr"/>
    </row>
    <row r="298" ht="15" customHeight="1">
      <c r="A298" t="inlineStr">
        <is>
          <t>A 60820-2025</t>
        </is>
      </c>
      <c r="B298" t="inlineStr">
        <is>
          <t>avverkningsanmälan</t>
        </is>
      </c>
      <c r="C298" t="inlineStr">
        <is>
          <t>Föryngringsavverkning</t>
        </is>
      </c>
      <c r="D298" s="1" t="n">
        <v>45999</v>
      </c>
      <c r="E298" s="1" t="n">
        <v>46320</v>
      </c>
      <c r="F298" t="inlineStr">
        <is>
          <t>VÄRMLANDS LÄN</t>
        </is>
      </c>
      <c r="G298" t="inlineStr">
        <is>
          <t>EDA</t>
        </is>
      </c>
      <c r="I298" t="n">
        <v>4.6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s="2" t="inlineStr"/>
    </row>
    <row r="299" ht="15" customHeight="1">
      <c r="A299" t="inlineStr">
        <is>
          <t>A 20598-2025</t>
        </is>
      </c>
      <c r="B299" t="inlineStr">
        <is>
          <t>avverkningsanmälan</t>
        </is>
      </c>
      <c r="C299" t="inlineStr">
        <is>
          <t>Föryngringsavverkning</t>
        </is>
      </c>
      <c r="D299" s="1" t="n">
        <v>45775</v>
      </c>
      <c r="E299" s="1" t="n">
        <v>46320</v>
      </c>
      <c r="F299" t="inlineStr">
        <is>
          <t>VÄRMLANDS LÄN</t>
        </is>
      </c>
      <c r="G299" t="inlineStr">
        <is>
          <t>EDA</t>
        </is>
      </c>
      <c r="I299" t="n">
        <v>8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s="2" t="inlineStr"/>
    </row>
    <row r="300" ht="15" customHeight="1">
      <c r="A300" t="inlineStr">
        <is>
          <t>A 20601-2025</t>
        </is>
      </c>
      <c r="B300" t="inlineStr">
        <is>
          <t>avverkningsanmälan</t>
        </is>
      </c>
      <c r="C300" t="inlineStr">
        <is>
          <t>Föryngringsavverkning</t>
        </is>
      </c>
      <c r="D300" s="1" t="n">
        <v>45775</v>
      </c>
      <c r="E300" s="1" t="n">
        <v>46320</v>
      </c>
      <c r="F300" t="inlineStr">
        <is>
          <t>VÄRMLANDS LÄN</t>
        </is>
      </c>
      <c r="G300" t="inlineStr">
        <is>
          <t>EDA</t>
        </is>
      </c>
      <c r="I300" t="n">
        <v>12.7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s="2" t="inlineStr"/>
    </row>
    <row r="301" ht="15" customHeight="1">
      <c r="A301" t="inlineStr">
        <is>
          <t>A 61582-2025</t>
        </is>
      </c>
      <c r="B301" t="inlineStr">
        <is>
          <t>avverkningsanmälan</t>
        </is>
      </c>
      <c r="C301" t="inlineStr">
        <is>
          <t>Föryngringsavverkning</t>
        </is>
      </c>
      <c r="D301" s="1" t="n">
        <v>46002</v>
      </c>
      <c r="E301" s="1" t="n">
        <v>46320</v>
      </c>
      <c r="F301" t="inlineStr">
        <is>
          <t>VÄRMLANDS LÄN</t>
        </is>
      </c>
      <c r="G301" t="inlineStr">
        <is>
          <t>EDA</t>
        </is>
      </c>
      <c r="I301" t="n">
        <v>1.6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s="2" t="inlineStr"/>
    </row>
    <row r="302" ht="15" customHeight="1">
      <c r="A302" t="inlineStr">
        <is>
          <t>A 21066-2025</t>
        </is>
      </c>
      <c r="B302" t="inlineStr">
        <is>
          <t>avverkningsanmälan</t>
        </is>
      </c>
      <c r="C302" t="inlineStr">
        <is>
          <t>Föryngringsavverkning</t>
        </is>
      </c>
      <c r="D302" s="1" t="n">
        <v>45777</v>
      </c>
      <c r="E302" s="1" t="n">
        <v>46320</v>
      </c>
      <c r="F302" t="inlineStr">
        <is>
          <t>VÄRMLANDS LÄN</t>
        </is>
      </c>
      <c r="G302" t="inlineStr">
        <is>
          <t>EDA</t>
        </is>
      </c>
      <c r="I302" t="n">
        <v>0.9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s="2" t="inlineStr"/>
    </row>
    <row r="303" ht="15" customHeight="1">
      <c r="A303" t="inlineStr">
        <is>
          <t>A 61714-2025</t>
        </is>
      </c>
      <c r="B303" t="inlineStr">
        <is>
          <t>avverkningsanmälan</t>
        </is>
      </c>
      <c r="C303" t="inlineStr">
        <is>
          <t>Föryngringsavverkning</t>
        </is>
      </c>
      <c r="D303" s="1" t="n">
        <v>46002</v>
      </c>
      <c r="E303" s="1" t="n">
        <v>46320</v>
      </c>
      <c r="F303" t="inlineStr">
        <is>
          <t>VÄRMLANDS LÄN</t>
        </is>
      </c>
      <c r="G303" t="inlineStr">
        <is>
          <t>EDA</t>
        </is>
      </c>
      <c r="I303" t="n">
        <v>0.5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s="2" t="inlineStr"/>
    </row>
    <row r="304" ht="15" customHeight="1">
      <c r="A304" t="inlineStr">
        <is>
          <t>A 21718-2025</t>
        </is>
      </c>
      <c r="B304" t="inlineStr">
        <is>
          <t>avverkningsanmälan</t>
        </is>
      </c>
      <c r="C304" t="inlineStr">
        <is>
          <t>Föryngringsavverkning</t>
        </is>
      </c>
      <c r="D304" s="1" t="n">
        <v>45783</v>
      </c>
      <c r="E304" s="1" t="n">
        <v>46320</v>
      </c>
      <c r="F304" t="inlineStr">
        <is>
          <t>VÄRMLANDS LÄN</t>
        </is>
      </c>
      <c r="G304" t="inlineStr">
        <is>
          <t>EDA</t>
        </is>
      </c>
      <c r="I304" t="n">
        <v>4.8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s="2" t="inlineStr"/>
    </row>
    <row r="305" ht="15" customHeight="1">
      <c r="A305" t="inlineStr">
        <is>
          <t>A 43200-2024</t>
        </is>
      </c>
      <c r="B305" t="inlineStr">
        <is>
          <t>avverkningsanmälan</t>
        </is>
      </c>
      <c r="C305" t="inlineStr">
        <is>
          <t>Föryngringsavverkning</t>
        </is>
      </c>
      <c r="D305" s="1" t="n">
        <v>45567</v>
      </c>
      <c r="E305" s="1" t="n">
        <v>46320</v>
      </c>
      <c r="F305" t="inlineStr">
        <is>
          <t>VÄRMLANDS LÄN</t>
        </is>
      </c>
      <c r="G305" t="inlineStr">
        <is>
          <t>EDA</t>
        </is>
      </c>
      <c r="I305" t="n">
        <v>2.3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s="2" t="inlineStr"/>
    </row>
    <row r="306" ht="15" customHeight="1">
      <c r="A306" t="inlineStr">
        <is>
          <t>A 32005-2026</t>
        </is>
      </c>
      <c r="B306" t="inlineStr">
        <is>
          <t>avverkningsanmälan</t>
        </is>
      </c>
      <c r="C306" t="inlineStr">
        <is>
          <t>Föryngringsavverkning</t>
        </is>
      </c>
      <c r="D306" s="1" t="n">
        <v>46233</v>
      </c>
      <c r="E306" s="1" t="n">
        <v>46320</v>
      </c>
      <c r="F306" t="inlineStr">
        <is>
          <t>VÄRMLANDS LÄN</t>
        </is>
      </c>
      <c r="G306" t="inlineStr">
        <is>
          <t>EDA</t>
        </is>
      </c>
      <c r="I306" t="n">
        <v>0.7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s="2" t="inlineStr"/>
    </row>
    <row r="307" ht="15" customHeight="1">
      <c r="A307" t="inlineStr">
        <is>
          <t>A 62343-2025</t>
        </is>
      </c>
      <c r="B307" t="inlineStr">
        <is>
          <t>avverkningsanmälan</t>
        </is>
      </c>
      <c r="C307" t="inlineStr">
        <is>
          <t>Föryngringsavverkning</t>
        </is>
      </c>
      <c r="D307" s="1" t="n">
        <v>46006</v>
      </c>
      <c r="E307" s="1" t="n">
        <v>46320</v>
      </c>
      <c r="F307" t="inlineStr">
        <is>
          <t>VÄRMLANDS LÄN</t>
        </is>
      </c>
      <c r="G307" t="inlineStr">
        <is>
          <t>EDA</t>
        </is>
      </c>
      <c r="I307" t="n">
        <v>2.9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s="2" t="inlineStr"/>
    </row>
    <row r="308" ht="15" customHeight="1">
      <c r="A308" t="inlineStr">
        <is>
          <t>A 62598-2025</t>
        </is>
      </c>
      <c r="B308" t="inlineStr">
        <is>
          <t>avverkningsanmälan</t>
        </is>
      </c>
      <c r="C308" t="inlineStr">
        <is>
          <t>Föryngringsavverkning</t>
        </is>
      </c>
      <c r="D308" s="1" t="n">
        <v>46007</v>
      </c>
      <c r="E308" s="1" t="n">
        <v>46320</v>
      </c>
      <c r="F308" t="inlineStr">
        <is>
          <t>VÄRMLANDS LÄN</t>
        </is>
      </c>
      <c r="G308" t="inlineStr">
        <is>
          <t>EDA</t>
        </is>
      </c>
      <c r="I308" t="n">
        <v>3.9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s="2" t="inlineStr"/>
    </row>
    <row r="309" ht="15" customHeight="1">
      <c r="A309" t="inlineStr">
        <is>
          <t>A 12406-2025</t>
        </is>
      </c>
      <c r="B309" t="inlineStr">
        <is>
          <t>avverkningsanmälan</t>
        </is>
      </c>
      <c r="C309" t="inlineStr">
        <is>
          <t>Föryngringsavverkning</t>
        </is>
      </c>
      <c r="D309" s="1" t="n">
        <v>45730</v>
      </c>
      <c r="E309" s="1" t="n">
        <v>46320</v>
      </c>
      <c r="F309" t="inlineStr">
        <is>
          <t>VÄRMLANDS LÄN</t>
        </is>
      </c>
      <c r="G309" t="inlineStr">
        <is>
          <t>EDA</t>
        </is>
      </c>
      <c r="I309" t="n">
        <v>12.7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s="2" t="inlineStr"/>
    </row>
    <row r="310" ht="15" customHeight="1">
      <c r="A310" t="inlineStr">
        <is>
          <t>A 63064-2025</t>
        </is>
      </c>
      <c r="B310" t="inlineStr">
        <is>
          <t>avverkningsanmälan</t>
        </is>
      </c>
      <c r="C310" t="inlineStr">
        <is>
          <t>Föryngringsavverkning</t>
        </is>
      </c>
      <c r="D310" s="1" t="n">
        <v>46009</v>
      </c>
      <c r="E310" s="1" t="n">
        <v>46320</v>
      </c>
      <c r="F310" t="inlineStr">
        <is>
          <t>VÄRMLANDS LÄN</t>
        </is>
      </c>
      <c r="G310" t="inlineStr">
        <is>
          <t>EDA</t>
        </is>
      </c>
      <c r="I310" t="n">
        <v>2.1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s="2" t="inlineStr"/>
    </row>
    <row r="311" ht="15" customHeight="1">
      <c r="A311" t="inlineStr">
        <is>
          <t>A 63150-2025</t>
        </is>
      </c>
      <c r="B311" t="inlineStr">
        <is>
          <t>avverkningsanmälan</t>
        </is>
      </c>
      <c r="C311" t="inlineStr">
        <is>
          <t>Föryngringsavverkning</t>
        </is>
      </c>
      <c r="D311" s="1" t="n">
        <v>46010</v>
      </c>
      <c r="E311" s="1" t="n">
        <v>46320</v>
      </c>
      <c r="F311" t="inlineStr">
        <is>
          <t>VÄRMLANDS LÄN</t>
        </is>
      </c>
      <c r="G311" t="inlineStr">
        <is>
          <t>EDA</t>
        </is>
      </c>
      <c r="I311" t="n">
        <v>1.6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s="2" t="inlineStr"/>
    </row>
    <row r="312" ht="15" customHeight="1">
      <c r="A312" t="inlineStr">
        <is>
          <t>A 37792-2026</t>
        </is>
      </c>
      <c r="B312" t="inlineStr">
        <is>
          <t>avverkningsanmälan</t>
        </is>
      </c>
      <c r="C312" t="inlineStr">
        <is>
          <t>Föryngringsavverkning</t>
        </is>
      </c>
      <c r="D312" s="1" t="n">
        <v>46279</v>
      </c>
      <c r="E312" s="1" t="n">
        <v>46320</v>
      </c>
      <c r="F312" t="inlineStr">
        <is>
          <t>VÄRMLANDS LÄN</t>
        </is>
      </c>
      <c r="G312" t="inlineStr">
        <is>
          <t>EDA</t>
        </is>
      </c>
      <c r="I312" t="n">
        <v>3.3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s="2" t="inlineStr"/>
    </row>
    <row r="313" ht="15" customHeight="1">
      <c r="A313" t="inlineStr">
        <is>
          <t>A 32225-2026</t>
        </is>
      </c>
      <c r="B313" t="inlineStr">
        <is>
          <t>avverkningsanmälan</t>
        </is>
      </c>
      <c r="C313" t="inlineStr">
        <is>
          <t>Avverkning för annat ändamål</t>
        </is>
      </c>
      <c r="D313" s="1" t="n">
        <v>46237</v>
      </c>
      <c r="E313" s="1" t="n">
        <v>46320</v>
      </c>
      <c r="F313" t="inlineStr">
        <is>
          <t>VÄRMLANDS LÄN</t>
        </is>
      </c>
      <c r="G313" t="inlineStr">
        <is>
          <t>EDA</t>
        </is>
      </c>
      <c r="I313" t="n">
        <v>0.3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s="2" t="inlineStr"/>
    </row>
    <row r="314" ht="15" customHeight="1">
      <c r="A314" t="inlineStr">
        <is>
          <t>A 63248-2025</t>
        </is>
      </c>
      <c r="B314" t="inlineStr">
        <is>
          <t>avverkningsanmälan</t>
        </is>
      </c>
      <c r="C314" t="inlineStr">
        <is>
          <t>Föryngringsavverkning</t>
        </is>
      </c>
      <c r="D314" s="1" t="n">
        <v>46010</v>
      </c>
      <c r="E314" s="1" t="n">
        <v>46320</v>
      </c>
      <c r="F314" t="inlineStr">
        <is>
          <t>VÄRMLANDS LÄN</t>
        </is>
      </c>
      <c r="G314" t="inlineStr">
        <is>
          <t>EDA</t>
        </is>
      </c>
      <c r="I314" t="n">
        <v>3.1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s="2" t="inlineStr"/>
    </row>
    <row r="315" ht="15" customHeight="1">
      <c r="A315" t="inlineStr">
        <is>
          <t>A 38024-2026</t>
        </is>
      </c>
      <c r="B315" t="inlineStr">
        <is>
          <t>avverkningsanmälan</t>
        </is>
      </c>
      <c r="C315" t="inlineStr">
        <is>
          <t>Föryngringsavverkning</t>
        </is>
      </c>
      <c r="D315" s="1" t="n">
        <v>46280</v>
      </c>
      <c r="E315" s="1" t="n">
        <v>46320</v>
      </c>
      <c r="F315" t="inlineStr">
        <is>
          <t>VÄRMLANDS LÄN</t>
        </is>
      </c>
      <c r="G315" t="inlineStr">
        <is>
          <t>EDA</t>
        </is>
      </c>
      <c r="I315" t="n">
        <v>1.2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s="2" t="inlineStr"/>
    </row>
    <row r="316" ht="15" customHeight="1">
      <c r="A316" t="inlineStr">
        <is>
          <t>A 63478-2025</t>
        </is>
      </c>
      <c r="B316" t="inlineStr">
        <is>
          <t>avverkningsanmälan</t>
        </is>
      </c>
      <c r="C316" t="inlineStr">
        <is>
          <t>Föryngringsavverkning</t>
        </is>
      </c>
      <c r="D316" s="1" t="n">
        <v>46013</v>
      </c>
      <c r="E316" s="1" t="n">
        <v>46320</v>
      </c>
      <c r="F316" t="inlineStr">
        <is>
          <t>VÄRMLANDS LÄN</t>
        </is>
      </c>
      <c r="G316" t="inlineStr">
        <is>
          <t>EDA</t>
        </is>
      </c>
      <c r="I316" t="n">
        <v>1.8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s="2" t="inlineStr"/>
    </row>
    <row r="317" ht="15" customHeight="1">
      <c r="A317" t="inlineStr">
        <is>
          <t>A 37760-2026</t>
        </is>
      </c>
      <c r="B317" t="inlineStr">
        <is>
          <t>avverkningsanmälan</t>
        </is>
      </c>
      <c r="C317" t="inlineStr">
        <is>
          <t>Föryngringsavverkning</t>
        </is>
      </c>
      <c r="D317" s="1" t="n">
        <v>46279</v>
      </c>
      <c r="E317" s="1" t="n">
        <v>46320</v>
      </c>
      <c r="F317" t="inlineStr">
        <is>
          <t>VÄRMLANDS LÄN</t>
        </is>
      </c>
      <c r="G317" t="inlineStr">
        <is>
          <t>EDA</t>
        </is>
      </c>
      <c r="I317" t="n">
        <v>1.1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s="2" t="inlineStr"/>
    </row>
    <row r="318" ht="15" customHeight="1">
      <c r="A318" t="inlineStr">
        <is>
          <t>A 63479-2025</t>
        </is>
      </c>
      <c r="B318" t="inlineStr">
        <is>
          <t>avverkningsanmälan</t>
        </is>
      </c>
      <c r="C318" t="inlineStr">
        <is>
          <t>Föryngringsavverkning</t>
        </is>
      </c>
      <c r="D318" s="1" t="n">
        <v>46013</v>
      </c>
      <c r="E318" s="1" t="n">
        <v>46320</v>
      </c>
      <c r="F318" t="inlineStr">
        <is>
          <t>VÄRMLANDS LÄN</t>
        </is>
      </c>
      <c r="G318" t="inlineStr">
        <is>
          <t>EDA</t>
        </is>
      </c>
      <c r="I318" t="n">
        <v>1.2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s="2" t="inlineStr"/>
    </row>
    <row r="319" ht="15" customHeight="1">
      <c r="A319" t="inlineStr">
        <is>
          <t>A 63490-2025</t>
        </is>
      </c>
      <c r="B319" t="inlineStr">
        <is>
          <t>avverkningsanmälan</t>
        </is>
      </c>
      <c r="C319" t="inlineStr">
        <is>
          <t>Föryngringsavverkning</t>
        </is>
      </c>
      <c r="D319" s="1" t="n">
        <v>46013</v>
      </c>
      <c r="E319" s="1" t="n">
        <v>46320</v>
      </c>
      <c r="F319" t="inlineStr">
        <is>
          <t>VÄRMLANDS LÄN</t>
        </is>
      </c>
      <c r="G319" t="inlineStr">
        <is>
          <t>EDA</t>
        </is>
      </c>
      <c r="I319" t="n">
        <v>0.9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s="2" t="inlineStr"/>
    </row>
    <row r="320" ht="15" customHeight="1">
      <c r="A320" t="inlineStr">
        <is>
          <t>A 77-2026</t>
        </is>
      </c>
      <c r="B320" t="inlineStr">
        <is>
          <t>avverkningsanmälan</t>
        </is>
      </c>
      <c r="C320" t="inlineStr">
        <is>
          <t>Föryngringsavverkning</t>
        </is>
      </c>
      <c r="D320" s="1" t="n">
        <v>46016</v>
      </c>
      <c r="E320" s="1" t="n">
        <v>46320</v>
      </c>
      <c r="F320" t="inlineStr">
        <is>
          <t>VÄRMLANDS LÄN</t>
        </is>
      </c>
      <c r="G320" t="inlineStr">
        <is>
          <t>EDA</t>
        </is>
      </c>
      <c r="I320" t="n">
        <v>2.6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s="2" t="inlineStr"/>
    </row>
    <row r="321" ht="15" customHeight="1">
      <c r="A321" t="inlineStr">
        <is>
          <t>A 68-2026</t>
        </is>
      </c>
      <c r="B321" t="inlineStr">
        <is>
          <t>avverkningsanmälan</t>
        </is>
      </c>
      <c r="C321" t="inlineStr">
        <is>
          <t>Föryngringsavverkning</t>
        </is>
      </c>
      <c r="D321" s="1" t="n">
        <v>46016</v>
      </c>
      <c r="E321" s="1" t="n">
        <v>46320</v>
      </c>
      <c r="F321" t="inlineStr">
        <is>
          <t>VÄRMLANDS LÄN</t>
        </is>
      </c>
      <c r="G321" t="inlineStr">
        <is>
          <t>EDA</t>
        </is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s="2" t="inlineStr"/>
    </row>
    <row r="322" ht="15" customHeight="1">
      <c r="A322" t="inlineStr">
        <is>
          <t>A 32337-2026</t>
        </is>
      </c>
      <c r="B322" t="inlineStr">
        <is>
          <t>avverkningsanmälan</t>
        </is>
      </c>
      <c r="C322" t="inlineStr">
        <is>
          <t>Föryngringsavverkning</t>
        </is>
      </c>
      <c r="D322" s="1" t="n">
        <v>46238</v>
      </c>
      <c r="E322" s="1" t="n">
        <v>46320</v>
      </c>
      <c r="F322" t="inlineStr">
        <is>
          <t>VÄRMLANDS LÄN</t>
        </is>
      </c>
      <c r="G322" t="inlineStr">
        <is>
          <t>EDA</t>
        </is>
      </c>
      <c r="I322" t="n">
        <v>1.4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s="2" t="inlineStr"/>
    </row>
    <row r="323" ht="15" customHeight="1">
      <c r="A323" t="inlineStr">
        <is>
          <t>A 83-2026</t>
        </is>
      </c>
      <c r="B323" t="inlineStr">
        <is>
          <t>avverkningsanmälan</t>
        </is>
      </c>
      <c r="C323" t="inlineStr">
        <is>
          <t>Föryngringsavverkning</t>
        </is>
      </c>
      <c r="D323" s="1" t="n">
        <v>46016</v>
      </c>
      <c r="E323" s="1" t="n">
        <v>46320</v>
      </c>
      <c r="F323" t="inlineStr">
        <is>
          <t>VÄRMLANDS LÄN</t>
        </is>
      </c>
      <c r="G323" t="inlineStr">
        <is>
          <t>EDA</t>
        </is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s="2" t="inlineStr"/>
    </row>
    <row r="324" ht="15" customHeight="1">
      <c r="A324" t="inlineStr">
        <is>
          <t>A 75-2026</t>
        </is>
      </c>
      <c r="B324" t="inlineStr">
        <is>
          <t>avverkningsanmälan</t>
        </is>
      </c>
      <c r="C324" t="inlineStr">
        <is>
          <t>Föryngringsavverkning</t>
        </is>
      </c>
      <c r="D324" s="1" t="n">
        <v>46016</v>
      </c>
      <c r="E324" s="1" t="n">
        <v>46320</v>
      </c>
      <c r="F324" t="inlineStr">
        <is>
          <t>VÄRMLANDS LÄN</t>
        </is>
      </c>
      <c r="G324" t="inlineStr">
        <is>
          <t>EDA</t>
        </is>
      </c>
      <c r="I324" t="n">
        <v>0.9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s="2" t="inlineStr"/>
    </row>
    <row r="325" ht="15" customHeight="1">
      <c r="A325" t="inlineStr">
        <is>
          <t>A 87-2026</t>
        </is>
      </c>
      <c r="B325" t="inlineStr">
        <is>
          <t>avverkningsanmälan</t>
        </is>
      </c>
      <c r="C325" t="inlineStr">
        <is>
          <t>Föryngringsavverkning</t>
        </is>
      </c>
      <c r="D325" s="1" t="n">
        <v>46016</v>
      </c>
      <c r="E325" s="1" t="n">
        <v>46320</v>
      </c>
      <c r="F325" t="inlineStr">
        <is>
          <t>VÄRMLANDS LÄN</t>
        </is>
      </c>
      <c r="G325" t="inlineStr">
        <is>
          <t>EDA</t>
        </is>
      </c>
      <c r="I325" t="n">
        <v>1.1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s="2" t="inlineStr"/>
    </row>
    <row r="326" ht="15" customHeight="1">
      <c r="A326" t="inlineStr">
        <is>
          <t>A 84-2026</t>
        </is>
      </c>
      <c r="B326" t="inlineStr">
        <is>
          <t>avverkningsanmälan</t>
        </is>
      </c>
      <c r="C326" t="inlineStr">
        <is>
          <t>Föryngringsavverkning</t>
        </is>
      </c>
      <c r="D326" s="1" t="n">
        <v>46016</v>
      </c>
      <c r="E326" s="1" t="n">
        <v>46320</v>
      </c>
      <c r="F326" t="inlineStr">
        <is>
          <t>VÄRMLANDS LÄN</t>
        </is>
      </c>
      <c r="G326" t="inlineStr">
        <is>
          <t>EDA</t>
        </is>
      </c>
      <c r="I326" t="n">
        <v>0.7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s="2" t="inlineStr"/>
    </row>
    <row r="327" ht="15" customHeight="1">
      <c r="A327" t="inlineStr">
        <is>
          <t>A 30249-2023</t>
        </is>
      </c>
      <c r="B327" t="inlineStr">
        <is>
          <t>avverkningsanmälan</t>
        </is>
      </c>
      <c r="C327" t="inlineStr">
        <is>
          <t>Föryngringsavverkning</t>
        </is>
      </c>
      <c r="D327" s="1" t="n">
        <v>45110</v>
      </c>
      <c r="E327" s="1" t="n">
        <v>46320</v>
      </c>
      <c r="F327" t="inlineStr">
        <is>
          <t>VÄRMLANDS LÄN</t>
        </is>
      </c>
      <c r="G327" t="inlineStr">
        <is>
          <t>EDA</t>
        </is>
      </c>
      <c r="I327" t="n">
        <v>1.8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s="2" t="inlineStr"/>
    </row>
    <row r="328" ht="15" customHeight="1">
      <c r="A328" t="inlineStr">
        <is>
          <t>A 64074-2025</t>
        </is>
      </c>
      <c r="B328" t="inlineStr">
        <is>
          <t>avverkningsanmälan</t>
        </is>
      </c>
      <c r="C328" t="inlineStr">
        <is>
          <t>Föryngringsavverkning</t>
        </is>
      </c>
      <c r="D328" s="1" t="n">
        <v>46021</v>
      </c>
      <c r="E328" s="1" t="n">
        <v>46320</v>
      </c>
      <c r="F328" t="inlineStr">
        <is>
          <t>VÄRMLANDS LÄN</t>
        </is>
      </c>
      <c r="G328" t="inlineStr">
        <is>
          <t>EDA</t>
        </is>
      </c>
      <c r="I328" t="n">
        <v>1.5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s="2" t="inlineStr"/>
    </row>
    <row r="329" ht="15" customHeight="1">
      <c r="A329" t="inlineStr">
        <is>
          <t>A 63990-2025</t>
        </is>
      </c>
      <c r="B329" t="inlineStr">
        <is>
          <t>avverkningsanmälan</t>
        </is>
      </c>
      <c r="C329" t="inlineStr">
        <is>
          <t>Föryngringsavverkning</t>
        </is>
      </c>
      <c r="D329" s="1" t="n">
        <v>46021</v>
      </c>
      <c r="E329" s="1" t="n">
        <v>46320</v>
      </c>
      <c r="F329" t="inlineStr">
        <is>
          <t>VÄRMLANDS LÄN</t>
        </is>
      </c>
      <c r="G329" t="inlineStr">
        <is>
          <t>EDA</t>
        </is>
      </c>
      <c r="H329" t="inlineStr">
        <is>
          <t>Övriga Aktiebolag</t>
        </is>
      </c>
      <c r="I329" t="n">
        <v>8.300000000000001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s="2" t="inlineStr"/>
    </row>
    <row r="330" ht="15" customHeight="1">
      <c r="A330" t="inlineStr">
        <is>
          <t>A 1048-2026</t>
        </is>
      </c>
      <c r="B330" t="inlineStr">
        <is>
          <t>avverkningsanmälan</t>
        </is>
      </c>
      <c r="C330" t="inlineStr">
        <is>
          <t>Föryngringsavverkning</t>
        </is>
      </c>
      <c r="D330" s="1" t="n">
        <v>46029</v>
      </c>
      <c r="E330" s="1" t="n">
        <v>46320</v>
      </c>
      <c r="F330" t="inlineStr">
        <is>
          <t>VÄRMLANDS LÄN</t>
        </is>
      </c>
      <c r="G330" t="inlineStr">
        <is>
          <t>EDA</t>
        </is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s="2" t="inlineStr"/>
    </row>
    <row r="331" ht="15" customHeight="1">
      <c r="A331" t="inlineStr">
        <is>
          <t>A 1070-2026</t>
        </is>
      </c>
      <c r="B331" t="inlineStr">
        <is>
          <t>avverkningsanmälan</t>
        </is>
      </c>
      <c r="C331" t="inlineStr">
        <is>
          <t>Föryngringsavverkning</t>
        </is>
      </c>
      <c r="D331" s="1" t="n">
        <v>46029</v>
      </c>
      <c r="E331" s="1" t="n">
        <v>46320</v>
      </c>
      <c r="F331" t="inlineStr">
        <is>
          <t>VÄRMLANDS LÄN</t>
        </is>
      </c>
      <c r="G331" t="inlineStr">
        <is>
          <t>EDA</t>
        </is>
      </c>
      <c r="I331" t="n">
        <v>3.1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s="2" t="inlineStr"/>
    </row>
    <row r="332" ht="15" customHeight="1">
      <c r="A332" t="inlineStr">
        <is>
          <t>A 1078-2026</t>
        </is>
      </c>
      <c r="B332" t="inlineStr">
        <is>
          <t>avverkningsanmälan</t>
        </is>
      </c>
      <c r="C332" t="inlineStr">
        <is>
          <t>Föryngringsavverkning</t>
        </is>
      </c>
      <c r="D332" s="1" t="n">
        <v>46029</v>
      </c>
      <c r="E332" s="1" t="n">
        <v>46320</v>
      </c>
      <c r="F332" t="inlineStr">
        <is>
          <t>VÄRMLANDS LÄN</t>
        </is>
      </c>
      <c r="G332" t="inlineStr">
        <is>
          <t>EDA</t>
        </is>
      </c>
      <c r="I332" t="n">
        <v>0.8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s="2" t="inlineStr"/>
    </row>
    <row r="333" ht="15" customHeight="1">
      <c r="A333" t="inlineStr">
        <is>
          <t>A 57314-2024</t>
        </is>
      </c>
      <c r="B333" t="inlineStr">
        <is>
          <t>avverkningsanmälan</t>
        </is>
      </c>
      <c r="C333" t="inlineStr">
        <is>
          <t>Föryngringsavverkning</t>
        </is>
      </c>
      <c r="D333" s="1" t="n">
        <v>45629</v>
      </c>
      <c r="E333" s="1" t="n">
        <v>46320</v>
      </c>
      <c r="F333" t="inlineStr">
        <is>
          <t>VÄRMLANDS LÄN</t>
        </is>
      </c>
      <c r="G333" t="inlineStr">
        <is>
          <t>EDA</t>
        </is>
      </c>
      <c r="I333" t="n">
        <v>3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s="2" t="inlineStr"/>
    </row>
    <row r="334" ht="15" customHeight="1">
      <c r="A334" t="inlineStr">
        <is>
          <t>A 1082-2026</t>
        </is>
      </c>
      <c r="B334" t="inlineStr">
        <is>
          <t>avverkningsanmälan</t>
        </is>
      </c>
      <c r="C334" t="inlineStr">
        <is>
          <t>Föryngringsavverkning</t>
        </is>
      </c>
      <c r="D334" s="1" t="n">
        <v>46029</v>
      </c>
      <c r="E334" s="1" t="n">
        <v>46320</v>
      </c>
      <c r="F334" t="inlineStr">
        <is>
          <t>VÄRMLANDS LÄN</t>
        </is>
      </c>
      <c r="G334" t="inlineStr">
        <is>
          <t>EDA</t>
        </is>
      </c>
      <c r="I334" t="n">
        <v>3.7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s="2" t="inlineStr"/>
    </row>
    <row r="335" ht="15" customHeight="1">
      <c r="A335" t="inlineStr">
        <is>
          <t>A 1338-2026</t>
        </is>
      </c>
      <c r="B335" t="inlineStr">
        <is>
          <t>avverkningsanmälan</t>
        </is>
      </c>
      <c r="C335" t="inlineStr">
        <is>
          <t>Föryngringsavverkning</t>
        </is>
      </c>
      <c r="D335" s="1" t="n">
        <v>46031</v>
      </c>
      <c r="E335" s="1" t="n">
        <v>46320</v>
      </c>
      <c r="F335" t="inlineStr">
        <is>
          <t>VÄRMLANDS LÄN</t>
        </is>
      </c>
      <c r="G335" t="inlineStr">
        <is>
          <t>EDA</t>
        </is>
      </c>
      <c r="I335" t="n">
        <v>2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s="2" t="inlineStr"/>
    </row>
    <row r="336" ht="15" customHeight="1">
      <c r="A336" t="inlineStr">
        <is>
          <t>A 1346-2026</t>
        </is>
      </c>
      <c r="B336" t="inlineStr">
        <is>
          <t>avverkningsanmälan</t>
        </is>
      </c>
      <c r="C336" t="inlineStr">
        <is>
          <t>Föryngringsavverkning</t>
        </is>
      </c>
      <c r="D336" s="1" t="n">
        <v>46031</v>
      </c>
      <c r="E336" s="1" t="n">
        <v>46320</v>
      </c>
      <c r="F336" t="inlineStr">
        <is>
          <t>VÄRMLANDS LÄN</t>
        </is>
      </c>
      <c r="G336" t="inlineStr">
        <is>
          <t>EDA</t>
        </is>
      </c>
      <c r="I336" t="n">
        <v>3.6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s="2" t="inlineStr"/>
    </row>
    <row r="337" ht="15" customHeight="1">
      <c r="A337" t="inlineStr">
        <is>
          <t>A 23482-2025</t>
        </is>
      </c>
      <c r="B337" t="inlineStr">
        <is>
          <t>avverkningsanmälan</t>
        </is>
      </c>
      <c r="C337" t="inlineStr">
        <is>
          <t>Föryngringsavverkning</t>
        </is>
      </c>
      <c r="D337" s="1" t="n">
        <v>45792</v>
      </c>
      <c r="E337" s="1" t="n">
        <v>46320</v>
      </c>
      <c r="F337" t="inlineStr">
        <is>
          <t>VÄRMLANDS LÄN</t>
        </is>
      </c>
      <c r="G337" t="inlineStr">
        <is>
          <t>EDA</t>
        </is>
      </c>
      <c r="I337" t="n">
        <v>2.3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s="2" t="inlineStr"/>
    </row>
    <row r="338" ht="15" customHeight="1">
      <c r="A338" t="inlineStr">
        <is>
          <t>A 32618-2026</t>
        </is>
      </c>
      <c r="B338" t="inlineStr">
        <is>
          <t>avverkningsanmälan</t>
        </is>
      </c>
      <c r="C338" t="inlineStr">
        <is>
          <t>Föryngringsavverkning</t>
        </is>
      </c>
      <c r="D338" s="1" t="n">
        <v>46240</v>
      </c>
      <c r="E338" s="1" t="n">
        <v>46320</v>
      </c>
      <c r="F338" t="inlineStr">
        <is>
          <t>VÄRMLANDS LÄN</t>
        </is>
      </c>
      <c r="G338" t="inlineStr">
        <is>
          <t>EDA</t>
        </is>
      </c>
      <c r="I338" t="n">
        <v>3.6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s="2" t="inlineStr"/>
    </row>
    <row r="339" ht="15" customHeight="1">
      <c r="A339" t="inlineStr">
        <is>
          <t>A 1825-2026</t>
        </is>
      </c>
      <c r="B339" t="inlineStr">
        <is>
          <t>avverkningsanmälan</t>
        </is>
      </c>
      <c r="C339" t="inlineStr">
        <is>
          <t>Föryngringsavverkning</t>
        </is>
      </c>
      <c r="D339" s="1" t="n">
        <v>46035</v>
      </c>
      <c r="E339" s="1" t="n">
        <v>46320</v>
      </c>
      <c r="F339" t="inlineStr">
        <is>
          <t>VÄRMLANDS LÄN</t>
        </is>
      </c>
      <c r="G339" t="inlineStr">
        <is>
          <t>EDA</t>
        </is>
      </c>
      <c r="I339" t="n">
        <v>2.1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s="2" t="inlineStr"/>
    </row>
    <row r="340" ht="15" customHeight="1">
      <c r="A340" t="inlineStr">
        <is>
          <t>A 45401-2024</t>
        </is>
      </c>
      <c r="B340" t="inlineStr">
        <is>
          <t>avverkningsanmälan</t>
        </is>
      </c>
      <c r="C340" t="inlineStr">
        <is>
          <t>Föryngringsavverkning</t>
        </is>
      </c>
      <c r="D340" s="1" t="n">
        <v>45576</v>
      </c>
      <c r="E340" s="1" t="n">
        <v>46320</v>
      </c>
      <c r="F340" t="inlineStr">
        <is>
          <t>VÄRMLANDS LÄN</t>
        </is>
      </c>
      <c r="G340" t="inlineStr">
        <is>
          <t>EDA</t>
        </is>
      </c>
      <c r="I340" t="n">
        <v>0.9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s="2" t="inlineStr"/>
    </row>
    <row r="341" ht="15" customHeight="1">
      <c r="A341" t="inlineStr">
        <is>
          <t>A 3580-2026</t>
        </is>
      </c>
      <c r="B341" t="inlineStr">
        <is>
          <t>avverkningsanmälan</t>
        </is>
      </c>
      <c r="C341" t="inlineStr">
        <is>
          <t>Föryngringsavverkning</t>
        </is>
      </c>
      <c r="D341" s="1" t="n">
        <v>46042</v>
      </c>
      <c r="E341" s="1" t="n">
        <v>46320</v>
      </c>
      <c r="F341" t="inlineStr">
        <is>
          <t>VÄRMLANDS LÄN</t>
        </is>
      </c>
      <c r="G341" t="inlineStr">
        <is>
          <t>EDA</t>
        </is>
      </c>
      <c r="I341" t="n">
        <v>1.5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s="2" t="inlineStr"/>
    </row>
    <row r="342" ht="15" customHeight="1">
      <c r="A342" t="inlineStr">
        <is>
          <t>A 3135-2026</t>
        </is>
      </c>
      <c r="B342" t="inlineStr">
        <is>
          <t>avverkningsanmälan</t>
        </is>
      </c>
      <c r="C342" t="inlineStr">
        <is>
          <t>Föryngringsavverkning</t>
        </is>
      </c>
      <c r="D342" s="1" t="n">
        <v>46041</v>
      </c>
      <c r="E342" s="1" t="n">
        <v>46320</v>
      </c>
      <c r="F342" t="inlineStr">
        <is>
          <t>VÄRMLANDS LÄN</t>
        </is>
      </c>
      <c r="G342" t="inlineStr">
        <is>
          <t>EDA</t>
        </is>
      </c>
      <c r="I342" t="n">
        <v>3.3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s="2" t="inlineStr"/>
    </row>
    <row r="343" ht="15" customHeight="1">
      <c r="A343" t="inlineStr">
        <is>
          <t>A 3162-2026</t>
        </is>
      </c>
      <c r="B343" t="inlineStr">
        <is>
          <t>avverkningsanmälan</t>
        </is>
      </c>
      <c r="C343" t="inlineStr">
        <is>
          <t>Avverkning för annat ändamål</t>
        </is>
      </c>
      <c r="D343" s="1" t="n">
        <v>46041</v>
      </c>
      <c r="E343" s="1" t="n">
        <v>46320</v>
      </c>
      <c r="F343" t="inlineStr">
        <is>
          <t>VÄRMLANDS LÄN</t>
        </is>
      </c>
      <c r="G343" t="inlineStr">
        <is>
          <t>EDA</t>
        </is>
      </c>
      <c r="I343" t="n">
        <v>3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s="2" t="inlineStr"/>
    </row>
    <row r="344" ht="15" customHeight="1">
      <c r="A344" t="inlineStr">
        <is>
          <t>A 24052-2025</t>
        </is>
      </c>
      <c r="B344" t="inlineStr">
        <is>
          <t>avverkningsanmälan</t>
        </is>
      </c>
      <c r="C344" t="inlineStr">
        <is>
          <t>Föryngringsavverkning</t>
        </is>
      </c>
      <c r="D344" s="1" t="n">
        <v>45796</v>
      </c>
      <c r="E344" s="1" t="n">
        <v>46320</v>
      </c>
      <c r="F344" t="inlineStr">
        <is>
          <t>VÄRMLANDS LÄN</t>
        </is>
      </c>
      <c r="G344" t="inlineStr">
        <is>
          <t>EDA</t>
        </is>
      </c>
      <c r="I344" t="n">
        <v>1.3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s="2" t="inlineStr"/>
    </row>
    <row r="345" ht="15" customHeight="1">
      <c r="A345" t="inlineStr">
        <is>
          <t>A 6107-2026</t>
        </is>
      </c>
      <c r="B345" t="inlineStr">
        <is>
          <t>avverkningsanmälan</t>
        </is>
      </c>
      <c r="C345" t="inlineStr">
        <is>
          <t>Föryngringsavverkning</t>
        </is>
      </c>
      <c r="D345" s="1" t="n">
        <v>46052</v>
      </c>
      <c r="E345" s="1" t="n">
        <v>46320</v>
      </c>
      <c r="F345" t="inlineStr">
        <is>
          <t>VÄRMLANDS LÄN</t>
        </is>
      </c>
      <c r="G345" t="inlineStr">
        <is>
          <t>EDA</t>
        </is>
      </c>
      <c r="H345" t="inlineStr">
        <is>
          <t>Kyrkan</t>
        </is>
      </c>
      <c r="I345" t="n">
        <v>1.8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s="2" t="inlineStr"/>
    </row>
    <row r="346" ht="15" customHeight="1">
      <c r="A346" t="inlineStr">
        <is>
          <t>A 60467-2022</t>
        </is>
      </c>
      <c r="B346" t="inlineStr">
        <is>
          <t>avverkningsanmälan</t>
        </is>
      </c>
      <c r="C346" t="inlineStr">
        <is>
          <t>Föryngringsavverkning</t>
        </is>
      </c>
      <c r="D346" s="1" t="n">
        <v>44911</v>
      </c>
      <c r="E346" s="1" t="n">
        <v>46320</v>
      </c>
      <c r="F346" t="inlineStr">
        <is>
          <t>VÄRMLANDS LÄN</t>
        </is>
      </c>
      <c r="G346" t="inlineStr">
        <is>
          <t>EDA</t>
        </is>
      </c>
      <c r="I346" t="n">
        <v>9.9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s="2" t="inlineStr"/>
    </row>
    <row r="347" ht="15" customHeight="1">
      <c r="A347" t="inlineStr">
        <is>
          <t>A 60467-2022</t>
        </is>
      </c>
      <c r="B347" t="inlineStr">
        <is>
          <t>avverkningsanmälan</t>
        </is>
      </c>
      <c r="C347" t="inlineStr">
        <is>
          <t>Föryngringsavverkning</t>
        </is>
      </c>
      <c r="D347" s="1" t="n">
        <v>44911</v>
      </c>
      <c r="E347" s="1" t="n">
        <v>46320</v>
      </c>
      <c r="F347" t="inlineStr">
        <is>
          <t>VÄRMLANDS LÄN</t>
        </is>
      </c>
      <c r="G347" t="inlineStr">
        <is>
          <t>EDA</t>
        </is>
      </c>
      <c r="I347" t="n">
        <v>9.9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s="2" t="inlineStr"/>
    </row>
    <row r="348" ht="15" customHeight="1">
      <c r="A348" t="inlineStr">
        <is>
          <t>A 28889-2026</t>
        </is>
      </c>
      <c r="B348" t="inlineStr">
        <is>
          <t>avverkningsanmälan</t>
        </is>
      </c>
      <c r="C348" t="inlineStr">
        <is>
          <t>Föryngringsavverkning</t>
        </is>
      </c>
      <c r="D348" s="1" t="n">
        <v>46199</v>
      </c>
      <c r="E348" s="1" t="n">
        <v>46320</v>
      </c>
      <c r="F348" t="inlineStr">
        <is>
          <t>VÄRMLANDS LÄN</t>
        </is>
      </c>
      <c r="G348" t="inlineStr">
        <is>
          <t>EDA</t>
        </is>
      </c>
      <c r="I348" t="n">
        <v>1.3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s="2" t="inlineStr"/>
    </row>
    <row r="349" ht="15" customHeight="1">
      <c r="A349" t="inlineStr">
        <is>
          <t>A 3943-2026</t>
        </is>
      </c>
      <c r="B349" t="inlineStr">
        <is>
          <t>avverkningsanmälan</t>
        </is>
      </c>
      <c r="C349" t="inlineStr">
        <is>
          <t>Föryngringsavverkning</t>
        </is>
      </c>
      <c r="D349" s="1" t="n">
        <v>46043</v>
      </c>
      <c r="E349" s="1" t="n">
        <v>46320</v>
      </c>
      <c r="F349" t="inlineStr">
        <is>
          <t>VÄRMLANDS LÄN</t>
        </is>
      </c>
      <c r="G349" t="inlineStr">
        <is>
          <t>EDA</t>
        </is>
      </c>
      <c r="I349" t="n">
        <v>3.8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s="2" t="inlineStr"/>
    </row>
    <row r="350" ht="15" customHeight="1">
      <c r="A350" t="inlineStr">
        <is>
          <t>A 33162-2026</t>
        </is>
      </c>
      <c r="B350" t="inlineStr">
        <is>
          <t>avverkningsanmälan</t>
        </is>
      </c>
      <c r="C350" t="inlineStr">
        <is>
          <t>Avverkning för annat ändamål</t>
        </is>
      </c>
      <c r="D350" s="1" t="n">
        <v>46245</v>
      </c>
      <c r="E350" s="1" t="n">
        <v>46320</v>
      </c>
      <c r="F350" t="inlineStr">
        <is>
          <t>VÄRMLANDS LÄN</t>
        </is>
      </c>
      <c r="G350" t="inlineStr">
        <is>
          <t>EDA</t>
        </is>
      </c>
      <c r="I350" t="n">
        <v>0.2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s="2" t="inlineStr"/>
    </row>
    <row r="351" ht="15" customHeight="1">
      <c r="A351" t="inlineStr">
        <is>
          <t>A 56506-2025</t>
        </is>
      </c>
      <c r="B351" t="inlineStr">
        <is>
          <t>avverkningsanmälan</t>
        </is>
      </c>
      <c r="C351" t="inlineStr">
        <is>
          <t>Föryngringsavverkning</t>
        </is>
      </c>
      <c r="D351" s="1" t="n">
        <v>45975</v>
      </c>
      <c r="E351" s="1" t="n">
        <v>46320</v>
      </c>
      <c r="F351" t="inlineStr">
        <is>
          <t>VÄRMLANDS LÄN</t>
        </is>
      </c>
      <c r="G351" t="inlineStr">
        <is>
          <t>EDA</t>
        </is>
      </c>
      <c r="I351" t="n">
        <v>1.5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s="2" t="inlineStr"/>
    </row>
    <row r="352" ht="15" customHeight="1">
      <c r="A352" t="inlineStr">
        <is>
          <t>A 4605-2026</t>
        </is>
      </c>
      <c r="B352" t="inlineStr">
        <is>
          <t>avverkningsanmälan</t>
        </is>
      </c>
      <c r="C352" t="inlineStr">
        <is>
          <t>Föryngringsavverkning</t>
        </is>
      </c>
      <c r="D352" s="1" t="n">
        <v>46048</v>
      </c>
      <c r="E352" s="1" t="n">
        <v>46320</v>
      </c>
      <c r="F352" t="inlineStr">
        <is>
          <t>VÄRMLANDS LÄN</t>
        </is>
      </c>
      <c r="G352" t="inlineStr">
        <is>
          <t>EDA</t>
        </is>
      </c>
      <c r="I352" t="n">
        <v>1.4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s="2" t="inlineStr"/>
    </row>
    <row r="353" ht="15" customHeight="1">
      <c r="A353" t="inlineStr">
        <is>
          <t>A 33144-2026</t>
        </is>
      </c>
      <c r="B353" t="inlineStr">
        <is>
          <t>avverkningsanmälan</t>
        </is>
      </c>
      <c r="C353" t="inlineStr">
        <is>
          <t>Föryngringsavverkning</t>
        </is>
      </c>
      <c r="D353" s="1" t="n">
        <v>46245</v>
      </c>
      <c r="E353" s="1" t="n">
        <v>46320</v>
      </c>
      <c r="F353" t="inlineStr">
        <is>
          <t>VÄRMLANDS LÄN</t>
        </is>
      </c>
      <c r="G353" t="inlineStr">
        <is>
          <t>EDA</t>
        </is>
      </c>
      <c r="I353" t="n">
        <v>2.8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s="2" t="inlineStr"/>
    </row>
    <row r="354" ht="15" customHeight="1">
      <c r="A354" t="inlineStr">
        <is>
          <t>A 21286-2026</t>
        </is>
      </c>
      <c r="B354" t="inlineStr">
        <is>
          <t>avverkningsanmälan</t>
        </is>
      </c>
      <c r="C354" t="inlineStr">
        <is>
          <t>Avverkning för annat ändamål</t>
        </is>
      </c>
      <c r="D354" s="1" t="n">
        <v>46147</v>
      </c>
      <c r="E354" s="1" t="n">
        <v>46320</v>
      </c>
      <c r="F354" t="inlineStr">
        <is>
          <t>VÄRMLANDS LÄN</t>
        </is>
      </c>
      <c r="G354" t="inlineStr">
        <is>
          <t>EDA</t>
        </is>
      </c>
      <c r="I354" t="n">
        <v>6.2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s="2" t="inlineStr"/>
    </row>
    <row r="355" ht="15" customHeight="1">
      <c r="A355" t="inlineStr">
        <is>
          <t>A 5260-2026</t>
        </is>
      </c>
      <c r="B355" t="inlineStr">
        <is>
          <t>avverkningsanmälan</t>
        </is>
      </c>
      <c r="C355" t="inlineStr">
        <is>
          <t>Föryngringsavverkning</t>
        </is>
      </c>
      <c r="D355" s="1" t="n">
        <v>46050</v>
      </c>
      <c r="E355" s="1" t="n">
        <v>46320</v>
      </c>
      <c r="F355" t="inlineStr">
        <is>
          <t>VÄRMLANDS LÄN</t>
        </is>
      </c>
      <c r="G355" t="inlineStr">
        <is>
          <t>EDA</t>
        </is>
      </c>
      <c r="I355" t="n">
        <v>0.3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s="2" t="inlineStr"/>
    </row>
    <row r="356" ht="15" customHeight="1">
      <c r="A356" t="inlineStr">
        <is>
          <t>A 39856-2026</t>
        </is>
      </c>
      <c r="B356" t="inlineStr">
        <is>
          <t>avverkningsanmälan</t>
        </is>
      </c>
      <c r="C356" t="inlineStr">
        <is>
          <t>Föryngringsavverkning</t>
        </is>
      </c>
      <c r="D356" s="1" t="n">
        <v>46290</v>
      </c>
      <c r="E356" s="1" t="n">
        <v>46320</v>
      </c>
      <c r="F356" t="inlineStr">
        <is>
          <t>VÄRMLANDS LÄN</t>
        </is>
      </c>
      <c r="G356" t="inlineStr">
        <is>
          <t>EDA</t>
        </is>
      </c>
      <c r="I356" t="n">
        <v>3.2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s="2" t="inlineStr"/>
    </row>
    <row r="357" ht="15" customHeight="1">
      <c r="A357" t="inlineStr">
        <is>
          <t>A 39860-2026</t>
        </is>
      </c>
      <c r="B357" t="inlineStr">
        <is>
          <t>avverkningsanmälan</t>
        </is>
      </c>
      <c r="C357" t="inlineStr">
        <is>
          <t>Föryngringsavverkning</t>
        </is>
      </c>
      <c r="D357" s="1" t="n">
        <v>46290</v>
      </c>
      <c r="E357" s="1" t="n">
        <v>46320</v>
      </c>
      <c r="F357" t="inlineStr">
        <is>
          <t>VÄRMLANDS LÄN</t>
        </is>
      </c>
      <c r="G357" t="inlineStr">
        <is>
          <t>EDA</t>
        </is>
      </c>
      <c r="I357" t="n">
        <v>2.9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s="2" t="inlineStr"/>
    </row>
    <row r="358" ht="15" customHeight="1">
      <c r="A358" t="inlineStr">
        <is>
          <t>A 5413-2026</t>
        </is>
      </c>
      <c r="B358" t="inlineStr">
        <is>
          <t>avverkningsanmälan</t>
        </is>
      </c>
      <c r="C358" t="inlineStr">
        <is>
          <t>Föryngringsavverkning</t>
        </is>
      </c>
      <c r="D358" s="1" t="n">
        <v>46050</v>
      </c>
      <c r="E358" s="1" t="n">
        <v>46320</v>
      </c>
      <c r="F358" t="inlineStr">
        <is>
          <t>VÄRMLANDS LÄN</t>
        </is>
      </c>
      <c r="G358" t="inlineStr">
        <is>
          <t>EDA</t>
        </is>
      </c>
      <c r="I358" t="n">
        <v>1.6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s="2" t="inlineStr"/>
    </row>
    <row r="359" ht="15" customHeight="1">
      <c r="A359" t="inlineStr">
        <is>
          <t>A 5258-2026</t>
        </is>
      </c>
      <c r="B359" t="inlineStr">
        <is>
          <t>avverkningsanmälan</t>
        </is>
      </c>
      <c r="C359" t="inlineStr">
        <is>
          <t>Föryngringsavverkning</t>
        </is>
      </c>
      <c r="D359" s="1" t="n">
        <v>46050</v>
      </c>
      <c r="E359" s="1" t="n">
        <v>46320</v>
      </c>
      <c r="F359" t="inlineStr">
        <is>
          <t>VÄRMLANDS LÄN</t>
        </is>
      </c>
      <c r="G359" t="inlineStr">
        <is>
          <t>EDA</t>
        </is>
      </c>
      <c r="I359" t="n">
        <v>1.3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s="2" t="inlineStr"/>
    </row>
    <row r="360" ht="15" customHeight="1">
      <c r="A360" t="inlineStr">
        <is>
          <t>A 5259-2026</t>
        </is>
      </c>
      <c r="B360" t="inlineStr">
        <is>
          <t>avverkningsanmälan</t>
        </is>
      </c>
      <c r="C360" t="inlineStr">
        <is>
          <t>Föryngringsavverkning</t>
        </is>
      </c>
      <c r="D360" s="1" t="n">
        <v>46050</v>
      </c>
      <c r="E360" s="1" t="n">
        <v>46320</v>
      </c>
      <c r="F360" t="inlineStr">
        <is>
          <t>VÄRMLANDS LÄN</t>
        </is>
      </c>
      <c r="G360" t="inlineStr">
        <is>
          <t>EDA</t>
        </is>
      </c>
      <c r="I360" t="n">
        <v>1.2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s="2" t="inlineStr"/>
    </row>
    <row r="361" ht="15" customHeight="1">
      <c r="A361" t="inlineStr">
        <is>
          <t>A 25728-2025</t>
        </is>
      </c>
      <c r="B361" t="inlineStr">
        <is>
          <t>avverkningsanmälan</t>
        </is>
      </c>
      <c r="C361" t="inlineStr">
        <is>
          <t>Föryngringsavverkning</t>
        </is>
      </c>
      <c r="D361" s="1" t="n">
        <v>45803</v>
      </c>
      <c r="E361" s="1" t="n">
        <v>46320</v>
      </c>
      <c r="F361" t="inlineStr">
        <is>
          <t>VÄRMLANDS LÄN</t>
        </is>
      </c>
      <c r="G361" t="inlineStr">
        <is>
          <t>EDA</t>
        </is>
      </c>
      <c r="I361" t="n">
        <v>0.5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s="2" t="inlineStr"/>
    </row>
    <row r="362" ht="15" customHeight="1">
      <c r="A362" t="inlineStr">
        <is>
          <t>A 23070-2024</t>
        </is>
      </c>
      <c r="B362" t="inlineStr">
        <is>
          <t>avverkningsanmälan</t>
        </is>
      </c>
      <c r="C362" t="inlineStr">
        <is>
          <t>Föryngringsavverkning</t>
        </is>
      </c>
      <c r="D362" s="1" t="n">
        <v>45450</v>
      </c>
      <c r="E362" s="1" t="n">
        <v>46320</v>
      </c>
      <c r="F362" t="inlineStr">
        <is>
          <t>VÄRMLANDS LÄN</t>
        </is>
      </c>
      <c r="G362" t="inlineStr">
        <is>
          <t>EDA</t>
        </is>
      </c>
      <c r="I362" t="n">
        <v>2.4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s="2" t="inlineStr"/>
    </row>
    <row r="363" ht="15" customHeight="1">
      <c r="A363" t="inlineStr">
        <is>
          <t>A 33427-2026</t>
        </is>
      </c>
      <c r="B363" t="inlineStr">
        <is>
          <t>avverkningsanmälan</t>
        </is>
      </c>
      <c r="C363" t="inlineStr">
        <is>
          <t>Föryngringsavverkning</t>
        </is>
      </c>
      <c r="D363" s="1" t="n">
        <v>46247</v>
      </c>
      <c r="E363" s="1" t="n">
        <v>46320</v>
      </c>
      <c r="F363" t="inlineStr">
        <is>
          <t>VÄRMLANDS LÄN</t>
        </is>
      </c>
      <c r="G363" t="inlineStr">
        <is>
          <t>EDA</t>
        </is>
      </c>
      <c r="I363" t="n">
        <v>3.2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s="2" t="inlineStr"/>
    </row>
    <row r="364" ht="15" customHeight="1">
      <c r="A364" t="inlineStr">
        <is>
          <t>A 6214-2026</t>
        </is>
      </c>
      <c r="B364" t="inlineStr">
        <is>
          <t>avverkningsanmälan</t>
        </is>
      </c>
      <c r="C364" t="inlineStr">
        <is>
          <t>Föryngringsavverkning</t>
        </is>
      </c>
      <c r="D364" s="1" t="n">
        <v>46055</v>
      </c>
      <c r="E364" s="1" t="n">
        <v>46320</v>
      </c>
      <c r="F364" t="inlineStr">
        <is>
          <t>VÄRMLANDS LÄN</t>
        </is>
      </c>
      <c r="G364" t="inlineStr">
        <is>
          <t>EDA</t>
        </is>
      </c>
      <c r="I364" t="n">
        <v>1.7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s="2" t="inlineStr"/>
    </row>
    <row r="365" ht="15" customHeight="1">
      <c r="A365" t="inlineStr">
        <is>
          <t>A 135-2024</t>
        </is>
      </c>
      <c r="B365" t="inlineStr">
        <is>
          <t>avverkningsanmälan</t>
        </is>
      </c>
      <c r="C365" t="inlineStr">
        <is>
          <t>Föryngringsavverkning</t>
        </is>
      </c>
      <c r="D365" s="1" t="n">
        <v>45294</v>
      </c>
      <c r="E365" s="1" t="n">
        <v>46320</v>
      </c>
      <c r="F365" t="inlineStr">
        <is>
          <t>VÄRMLANDS LÄN</t>
        </is>
      </c>
      <c r="G365" t="inlineStr">
        <is>
          <t>EDA</t>
        </is>
      </c>
      <c r="I365" t="n">
        <v>1.8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s="2" t="inlineStr"/>
    </row>
    <row r="366" ht="15" customHeight="1">
      <c r="A366" t="inlineStr">
        <is>
          <t>A 38076-2026</t>
        </is>
      </c>
      <c r="B366" t="inlineStr">
        <is>
          <t>avverkningsanmälan</t>
        </is>
      </c>
      <c r="C366" t="inlineStr">
        <is>
          <t>Föryngringsavverkning</t>
        </is>
      </c>
      <c r="D366" s="1" t="n">
        <v>46281</v>
      </c>
      <c r="E366" s="1" t="n">
        <v>46320</v>
      </c>
      <c r="F366" t="inlineStr">
        <is>
          <t>VÄRMLANDS LÄN</t>
        </is>
      </c>
      <c r="G366" t="inlineStr">
        <is>
          <t>EDA</t>
        </is>
      </c>
      <c r="I366" t="n">
        <v>2.4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s="2" t="inlineStr"/>
    </row>
    <row r="367" ht="15" customHeight="1">
      <c r="A367" t="inlineStr">
        <is>
          <t>A 39497-2026</t>
        </is>
      </c>
      <c r="B367" t="inlineStr">
        <is>
          <t>avverkningsanmälan</t>
        </is>
      </c>
      <c r="C367" t="inlineStr">
        <is>
          <t>Föryngringsavverkning</t>
        </is>
      </c>
      <c r="D367" s="1" t="n">
        <v>46289</v>
      </c>
      <c r="E367" s="1" t="n">
        <v>46320</v>
      </c>
      <c r="F367" t="inlineStr">
        <is>
          <t>VÄRMLANDS LÄN</t>
        </is>
      </c>
      <c r="G367" t="inlineStr">
        <is>
          <t>EDA</t>
        </is>
      </c>
      <c r="I367" t="n">
        <v>0.7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s="2" t="inlineStr"/>
    </row>
    <row r="368" ht="15" customHeight="1">
      <c r="A368" t="inlineStr">
        <is>
          <t>A 39780-2026</t>
        </is>
      </c>
      <c r="B368" t="inlineStr">
        <is>
          <t>avverkningsanmälan</t>
        </is>
      </c>
      <c r="C368" t="inlineStr">
        <is>
          <t>Föryngringsavverkning</t>
        </is>
      </c>
      <c r="D368" s="1" t="n">
        <v>46290</v>
      </c>
      <c r="E368" s="1" t="n">
        <v>46320</v>
      </c>
      <c r="F368" t="inlineStr">
        <is>
          <t>VÄRMLANDS LÄN</t>
        </is>
      </c>
      <c r="G368" t="inlineStr">
        <is>
          <t>EDA</t>
        </is>
      </c>
      <c r="H368" t="inlineStr">
        <is>
          <t>Bergvik skog väst AB</t>
        </is>
      </c>
      <c r="I368" t="n">
        <v>2.9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s="2" t="inlineStr"/>
    </row>
    <row r="369" ht="15" customHeight="1">
      <c r="A369" t="inlineStr">
        <is>
          <t>A 26237-2025</t>
        </is>
      </c>
      <c r="B369" t="inlineStr">
        <is>
          <t>avverkningsanmälan</t>
        </is>
      </c>
      <c r="C369" t="inlineStr">
        <is>
          <t>Föryngringsavverkning</t>
        </is>
      </c>
      <c r="D369" s="1" t="n">
        <v>45805</v>
      </c>
      <c r="E369" s="1" t="n">
        <v>46320</v>
      </c>
      <c r="F369" t="inlineStr">
        <is>
          <t>VÄRMLANDS LÄN</t>
        </is>
      </c>
      <c r="G369" t="inlineStr">
        <is>
          <t>EDA</t>
        </is>
      </c>
      <c r="H369" t="inlineStr">
        <is>
          <t>Bergvik skog väst AB</t>
        </is>
      </c>
      <c r="I369" t="n">
        <v>6.2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s="2" t="inlineStr"/>
    </row>
    <row r="370" ht="15" customHeight="1">
      <c r="A370" t="inlineStr">
        <is>
          <t>A 33425-2026</t>
        </is>
      </c>
      <c r="B370" t="inlineStr">
        <is>
          <t>avverkningsanmälan</t>
        </is>
      </c>
      <c r="C370" t="inlineStr">
        <is>
          <t>Föryngringsavverkning</t>
        </is>
      </c>
      <c r="D370" s="1" t="n">
        <v>46247</v>
      </c>
      <c r="E370" s="1" t="n">
        <v>46320</v>
      </c>
      <c r="F370" t="inlineStr">
        <is>
          <t>VÄRMLANDS LÄN</t>
        </is>
      </c>
      <c r="G370" t="inlineStr">
        <is>
          <t>EDA</t>
        </is>
      </c>
      <c r="I370" t="n">
        <v>3.2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s="2" t="inlineStr"/>
    </row>
    <row r="371" ht="15" customHeight="1">
      <c r="A371" t="inlineStr">
        <is>
          <t>A 31077-2024</t>
        </is>
      </c>
      <c r="B371" t="inlineStr">
        <is>
          <t>avverkningsanmälan</t>
        </is>
      </c>
      <c r="C371" t="inlineStr">
        <is>
          <t>Föryngringsavverkning</t>
        </is>
      </c>
      <c r="D371" s="1" t="n">
        <v>45502</v>
      </c>
      <c r="E371" s="1" t="n">
        <v>46320</v>
      </c>
      <c r="F371" t="inlineStr">
        <is>
          <t>VÄRMLANDS LÄN</t>
        </is>
      </c>
      <c r="G371" t="inlineStr">
        <is>
          <t>EDA</t>
        </is>
      </c>
      <c r="I371" t="n">
        <v>3.7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s="2" t="inlineStr"/>
    </row>
    <row r="372" ht="15" customHeight="1">
      <c r="A372" t="inlineStr">
        <is>
          <t>A 39774-2026</t>
        </is>
      </c>
      <c r="B372" t="inlineStr">
        <is>
          <t>avverkningsanmälan</t>
        </is>
      </c>
      <c r="C372" t="inlineStr">
        <is>
          <t>Föryngringsavverkning</t>
        </is>
      </c>
      <c r="D372" s="1" t="n">
        <v>46290</v>
      </c>
      <c r="E372" s="1" t="n">
        <v>46320</v>
      </c>
      <c r="F372" t="inlineStr">
        <is>
          <t>VÄRMLANDS LÄN</t>
        </is>
      </c>
      <c r="G372" t="inlineStr">
        <is>
          <t>EDA</t>
        </is>
      </c>
      <c r="H372" t="inlineStr">
        <is>
          <t>Bergvik skog väst AB</t>
        </is>
      </c>
      <c r="I372" t="n">
        <v>6.6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s="2" t="inlineStr"/>
    </row>
    <row r="373" ht="15" customHeight="1">
      <c r="A373" t="inlineStr">
        <is>
          <t>A 56146-2024</t>
        </is>
      </c>
      <c r="B373" t="inlineStr">
        <is>
          <t>avverkningsanmälan</t>
        </is>
      </c>
      <c r="C373" t="inlineStr">
        <is>
          <t>Föryngringsavverkning</t>
        </is>
      </c>
      <c r="D373" s="1" t="n">
        <v>45624</v>
      </c>
      <c r="E373" s="1" t="n">
        <v>46320</v>
      </c>
      <c r="F373" t="inlineStr">
        <is>
          <t>VÄRMLANDS LÄN</t>
        </is>
      </c>
      <c r="G373" t="inlineStr">
        <is>
          <t>EDA</t>
        </is>
      </c>
      <c r="I373" t="n">
        <v>1.4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s="2" t="inlineStr"/>
    </row>
    <row r="374" ht="15" customHeight="1">
      <c r="A374" t="inlineStr">
        <is>
          <t>A 6490-2023</t>
        </is>
      </c>
      <c r="B374" t="inlineStr">
        <is>
          <t>avverkningsanmälan</t>
        </is>
      </c>
      <c r="C374" t="inlineStr">
        <is>
          <t>Avverkning för annat ändamål</t>
        </is>
      </c>
      <c r="D374" s="1" t="n">
        <v>44966</v>
      </c>
      <c r="E374" s="1" t="n">
        <v>46320</v>
      </c>
      <c r="F374" t="inlineStr">
        <is>
          <t>VÄRMLANDS LÄN</t>
        </is>
      </c>
      <c r="G374" t="inlineStr">
        <is>
          <t>EDA</t>
        </is>
      </c>
      <c r="H374" t="inlineStr">
        <is>
          <t>Övriga statliga verk och myndigheter</t>
        </is>
      </c>
      <c r="I374" t="n">
        <v>4.4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s="2" t="inlineStr"/>
    </row>
    <row r="375" ht="15" customHeight="1">
      <c r="A375" t="inlineStr">
        <is>
          <t>A 50225-2024</t>
        </is>
      </c>
      <c r="B375" t="inlineStr">
        <is>
          <t>avverkningsanmälan</t>
        </is>
      </c>
      <c r="C375" t="inlineStr">
        <is>
          <t>Föryngringsavverkning</t>
        </is>
      </c>
      <c r="D375" s="1" t="n">
        <v>45600</v>
      </c>
      <c r="E375" s="1" t="n">
        <v>46320</v>
      </c>
      <c r="F375" t="inlineStr">
        <is>
          <t>VÄRMLANDS LÄN</t>
        </is>
      </c>
      <c r="G375" t="inlineStr">
        <is>
          <t>EDA</t>
        </is>
      </c>
      <c r="I375" t="n">
        <v>2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s="2" t="inlineStr"/>
    </row>
    <row r="376" ht="15" customHeight="1">
      <c r="A376" t="inlineStr">
        <is>
          <t>A 39493-2026</t>
        </is>
      </c>
      <c r="B376" t="inlineStr">
        <is>
          <t>avverkningsanmälan</t>
        </is>
      </c>
      <c r="C376" t="inlineStr">
        <is>
          <t>Föryngringsavverkning</t>
        </is>
      </c>
      <c r="D376" s="1" t="n">
        <v>46289</v>
      </c>
      <c r="E376" s="1" t="n">
        <v>46320</v>
      </c>
      <c r="F376" t="inlineStr">
        <is>
          <t>VÄRMLANDS LÄN</t>
        </is>
      </c>
      <c r="G376" t="inlineStr">
        <is>
          <t>EDA</t>
        </is>
      </c>
      <c r="I376" t="n">
        <v>6.1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s="2" t="inlineStr"/>
    </row>
    <row r="377" ht="15" customHeight="1">
      <c r="A377" t="inlineStr">
        <is>
          <t>A 12239-2024</t>
        </is>
      </c>
      <c r="B377" t="inlineStr">
        <is>
          <t>avverkningsanmälan</t>
        </is>
      </c>
      <c r="C377" t="inlineStr">
        <is>
          <t>Föryngringsavverkning</t>
        </is>
      </c>
      <c r="D377" s="1" t="n">
        <v>45378</v>
      </c>
      <c r="E377" s="1" t="n">
        <v>46320</v>
      </c>
      <c r="F377" t="inlineStr">
        <is>
          <t>VÄRMLANDS LÄN</t>
        </is>
      </c>
      <c r="G377" t="inlineStr">
        <is>
          <t>EDA</t>
        </is>
      </c>
      <c r="I377" t="n">
        <v>1.5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s="2" t="inlineStr"/>
    </row>
    <row r="378" ht="15" customHeight="1">
      <c r="A378" t="inlineStr">
        <is>
          <t>A 2411-2024</t>
        </is>
      </c>
      <c r="B378" t="inlineStr">
        <is>
          <t>avverkningsanmälan</t>
        </is>
      </c>
      <c r="C378" t="inlineStr">
        <is>
          <t>Föryngringsavverkning</t>
        </is>
      </c>
      <c r="D378" s="1" t="n">
        <v>45310</v>
      </c>
      <c r="E378" s="1" t="n">
        <v>46320</v>
      </c>
      <c r="F378" t="inlineStr">
        <is>
          <t>VÄRMLANDS LÄN</t>
        </is>
      </c>
      <c r="G378" t="inlineStr">
        <is>
          <t>EDA</t>
        </is>
      </c>
      <c r="I378" t="n">
        <v>3.8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s="2" t="inlineStr"/>
    </row>
    <row r="379" ht="15" customHeight="1">
      <c r="A379" t="inlineStr">
        <is>
          <t>A 7460-2026</t>
        </is>
      </c>
      <c r="B379" t="inlineStr">
        <is>
          <t>avverkningsanmälan</t>
        </is>
      </c>
      <c r="C379" t="inlineStr">
        <is>
          <t>Föryngringsavverkning</t>
        </is>
      </c>
      <c r="D379" s="1" t="n">
        <v>46059</v>
      </c>
      <c r="E379" s="1" t="n">
        <v>46320</v>
      </c>
      <c r="F379" t="inlineStr">
        <is>
          <t>VÄRMLANDS LÄN</t>
        </is>
      </c>
      <c r="G379" t="inlineStr">
        <is>
          <t>EDA</t>
        </is>
      </c>
      <c r="I379" t="n">
        <v>2.2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s="2" t="inlineStr"/>
    </row>
    <row r="380" ht="15" customHeight="1">
      <c r="A380" t="inlineStr">
        <is>
          <t>A 11400-2025</t>
        </is>
      </c>
      <c r="B380" t="inlineStr">
        <is>
          <t>avverkningsanmälan</t>
        </is>
      </c>
      <c r="C380" t="inlineStr">
        <is>
          <t>Föryngringsavverkning</t>
        </is>
      </c>
      <c r="D380" s="1" t="n">
        <v>45726</v>
      </c>
      <c r="E380" s="1" t="n">
        <v>46320</v>
      </c>
      <c r="F380" t="inlineStr">
        <is>
          <t>VÄRMLANDS LÄN</t>
        </is>
      </c>
      <c r="G380" t="inlineStr">
        <is>
          <t>EDA</t>
        </is>
      </c>
      <c r="I380" t="n">
        <v>2.3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s="2" t="inlineStr"/>
    </row>
    <row r="381" ht="15" customHeight="1">
      <c r="A381" t="inlineStr">
        <is>
          <t>A 7455-2026</t>
        </is>
      </c>
      <c r="B381" t="inlineStr">
        <is>
          <t>avverkningsanmälan</t>
        </is>
      </c>
      <c r="C381" t="inlineStr">
        <is>
          <t>Föryngringsavverkning</t>
        </is>
      </c>
      <c r="D381" s="1" t="n">
        <v>46059</v>
      </c>
      <c r="E381" s="1" t="n">
        <v>46320</v>
      </c>
      <c r="F381" t="inlineStr">
        <is>
          <t>VÄRMLANDS LÄN</t>
        </is>
      </c>
      <c r="G381" t="inlineStr">
        <is>
          <t>EDA</t>
        </is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s="2" t="inlineStr"/>
    </row>
    <row r="382" ht="15" customHeight="1">
      <c r="A382" t="inlineStr">
        <is>
          <t>A 45985-2024</t>
        </is>
      </c>
      <c r="B382" t="inlineStr">
        <is>
          <t>avverkningsanmälan</t>
        </is>
      </c>
      <c r="C382" t="inlineStr">
        <is>
          <t>Föryngringsavverkning</t>
        </is>
      </c>
      <c r="D382" s="1" t="n">
        <v>45580</v>
      </c>
      <c r="E382" s="1" t="n">
        <v>46320</v>
      </c>
      <c r="F382" t="inlineStr">
        <is>
          <t>VÄRMLANDS LÄN</t>
        </is>
      </c>
      <c r="G382" t="inlineStr">
        <is>
          <t>EDA</t>
        </is>
      </c>
      <c r="I382" t="n">
        <v>6.2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s="2" t="inlineStr"/>
    </row>
    <row r="383" ht="15" customHeight="1">
      <c r="A383" t="inlineStr">
        <is>
          <t>A 56715-2024</t>
        </is>
      </c>
      <c r="B383" t="inlineStr">
        <is>
          <t>avverkningsanmälan</t>
        </is>
      </c>
      <c r="C383" t="inlineStr">
        <is>
          <t>Föryngringsavverkning</t>
        </is>
      </c>
      <c r="D383" s="1" t="n">
        <v>45628</v>
      </c>
      <c r="E383" s="1" t="n">
        <v>46320</v>
      </c>
      <c r="F383" t="inlineStr">
        <is>
          <t>VÄRMLANDS LÄN</t>
        </is>
      </c>
      <c r="G383" t="inlineStr">
        <is>
          <t>EDA</t>
        </is>
      </c>
      <c r="I383" t="n">
        <v>2.5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s="2" t="inlineStr"/>
    </row>
    <row r="384" ht="15" customHeight="1">
      <c r="A384" t="inlineStr">
        <is>
          <t>A 7815-2026</t>
        </is>
      </c>
      <c r="B384" t="inlineStr">
        <is>
          <t>avverkningsanmälan</t>
        </is>
      </c>
      <c r="C384" t="inlineStr">
        <is>
          <t>Föryngringsavverkning</t>
        </is>
      </c>
      <c r="D384" s="1" t="n">
        <v>46062</v>
      </c>
      <c r="E384" s="1" t="n">
        <v>46320</v>
      </c>
      <c r="F384" t="inlineStr">
        <is>
          <t>VÄRMLANDS LÄN</t>
        </is>
      </c>
      <c r="G384" t="inlineStr">
        <is>
          <t>EDA</t>
        </is>
      </c>
      <c r="I384" t="n">
        <v>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s="2" t="inlineStr"/>
    </row>
    <row r="385" ht="15" customHeight="1">
      <c r="A385" t="inlineStr">
        <is>
          <t>A 7636-2026</t>
        </is>
      </c>
      <c r="B385" t="inlineStr">
        <is>
          <t>avverkningsanmälan</t>
        </is>
      </c>
      <c r="C385" t="inlineStr">
        <is>
          <t>Föryngringsavverkning</t>
        </is>
      </c>
      <c r="D385" s="1" t="n">
        <v>46062</v>
      </c>
      <c r="E385" s="1" t="n">
        <v>46320</v>
      </c>
      <c r="F385" t="inlineStr">
        <is>
          <t>VÄRMLANDS LÄN</t>
        </is>
      </c>
      <c r="G385" t="inlineStr">
        <is>
          <t>EDA</t>
        </is>
      </c>
      <c r="I385" t="n">
        <v>2.1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s="2" t="inlineStr"/>
    </row>
    <row r="386" ht="15" customHeight="1">
      <c r="A386" t="inlineStr">
        <is>
          <t>A 14744-2025</t>
        </is>
      </c>
      <c r="B386" t="inlineStr">
        <is>
          <t>avverkningsanmälan</t>
        </is>
      </c>
      <c r="C386" t="inlineStr">
        <is>
          <t>Föryngringsavverkning</t>
        </is>
      </c>
      <c r="D386" s="1" t="n">
        <v>45742</v>
      </c>
      <c r="E386" s="1" t="n">
        <v>46320</v>
      </c>
      <c r="F386" t="inlineStr">
        <is>
          <t>VÄRMLANDS LÄN</t>
        </is>
      </c>
      <c r="G386" t="inlineStr">
        <is>
          <t>EDA</t>
        </is>
      </c>
      <c r="I386" t="n">
        <v>1.3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s="2" t="inlineStr"/>
    </row>
    <row r="387" ht="15" customHeight="1">
      <c r="A387" t="inlineStr">
        <is>
          <t>A 46646-2024</t>
        </is>
      </c>
      <c r="B387" t="inlineStr">
        <is>
          <t>avverkningsanmälan</t>
        </is>
      </c>
      <c r="C387" t="inlineStr">
        <is>
          <t>Föryngringsavverkning</t>
        </is>
      </c>
      <c r="D387" s="1" t="n">
        <v>45583</v>
      </c>
      <c r="E387" s="1" t="n">
        <v>46320</v>
      </c>
      <c r="F387" t="inlineStr">
        <is>
          <t>VÄRMLANDS LÄN</t>
        </is>
      </c>
      <c r="G387" t="inlineStr">
        <is>
          <t>EDA</t>
        </is>
      </c>
      <c r="I387" t="n">
        <v>1.8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s="2" t="inlineStr"/>
    </row>
    <row r="388" ht="15" customHeight="1">
      <c r="A388" t="inlineStr">
        <is>
          <t>A 40310-2026</t>
        </is>
      </c>
      <c r="B388" t="inlineStr">
        <is>
          <t>avverkningsanmälan</t>
        </is>
      </c>
      <c r="C388" t="inlineStr">
        <is>
          <t>Föryngringsavverkning</t>
        </is>
      </c>
      <c r="D388" s="1" t="n">
        <v>46294</v>
      </c>
      <c r="E388" s="1" t="n">
        <v>46320</v>
      </c>
      <c r="F388" t="inlineStr">
        <is>
          <t>VÄRMLANDS LÄN</t>
        </is>
      </c>
      <c r="G388" t="inlineStr">
        <is>
          <t>EDA</t>
        </is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s="2" t="inlineStr"/>
    </row>
    <row r="389" ht="15" customHeight="1">
      <c r="A389" t="inlineStr">
        <is>
          <t>A 8136-2026</t>
        </is>
      </c>
      <c r="B389" t="inlineStr">
        <is>
          <t>avverkningsanmälan</t>
        </is>
      </c>
      <c r="C389" t="inlineStr">
        <is>
          <t>Föryngringsavverkning</t>
        </is>
      </c>
      <c r="D389" s="1" t="n">
        <v>46064</v>
      </c>
      <c r="E389" s="1" t="n">
        <v>46320</v>
      </c>
      <c r="F389" t="inlineStr">
        <is>
          <t>VÄRMLANDS LÄN</t>
        </is>
      </c>
      <c r="G389" t="inlineStr">
        <is>
          <t>EDA</t>
        </is>
      </c>
      <c r="I389" t="n">
        <v>4.9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s="2" t="inlineStr"/>
    </row>
    <row r="390" ht="15" customHeight="1">
      <c r="A390" t="inlineStr">
        <is>
          <t>A 28092-2025</t>
        </is>
      </c>
      <c r="B390" t="inlineStr">
        <is>
          <t>avverkningsanmälan</t>
        </is>
      </c>
      <c r="C390" t="inlineStr">
        <is>
          <t>Föryngringsavverkning</t>
        </is>
      </c>
      <c r="D390" s="1" t="n">
        <v>45817</v>
      </c>
      <c r="E390" s="1" t="n">
        <v>46320</v>
      </c>
      <c r="F390" t="inlineStr">
        <is>
          <t>VÄRMLANDS LÄN</t>
        </is>
      </c>
      <c r="G390" t="inlineStr">
        <is>
          <t>EDA</t>
        </is>
      </c>
      <c r="I390" t="n">
        <v>0.8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s="2" t="inlineStr"/>
    </row>
    <row r="391" ht="15" customHeight="1">
      <c r="A391" t="inlineStr">
        <is>
          <t>A 8388-2026</t>
        </is>
      </c>
      <c r="B391" t="inlineStr">
        <is>
          <t>avverkningsanmälan</t>
        </is>
      </c>
      <c r="C391" t="inlineStr">
        <is>
          <t>Föryngringsavverkning</t>
        </is>
      </c>
      <c r="D391" s="1" t="n">
        <v>46064</v>
      </c>
      <c r="E391" s="1" t="n">
        <v>46320</v>
      </c>
      <c r="F391" t="inlineStr">
        <is>
          <t>VÄRMLANDS LÄN</t>
        </is>
      </c>
      <c r="G391" t="inlineStr">
        <is>
          <t>EDA</t>
        </is>
      </c>
      <c r="I391" t="n">
        <v>1.2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s="2" t="inlineStr"/>
    </row>
    <row r="392" ht="15" customHeight="1">
      <c r="A392" t="inlineStr">
        <is>
          <t>A 8790-2026</t>
        </is>
      </c>
      <c r="B392" t="inlineStr">
        <is>
          <t>avverkningsanmälan</t>
        </is>
      </c>
      <c r="C392" t="inlineStr">
        <is>
          <t>Föryngringsavverkning</t>
        </is>
      </c>
      <c r="D392" s="1" t="n">
        <v>46066</v>
      </c>
      <c r="E392" s="1" t="n">
        <v>46320</v>
      </c>
      <c r="F392" t="inlineStr">
        <is>
          <t>VÄRMLANDS LÄN</t>
        </is>
      </c>
      <c r="G392" t="inlineStr">
        <is>
          <t>EDA</t>
        </is>
      </c>
      <c r="I392" t="n">
        <v>4.9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s="2" t="inlineStr"/>
    </row>
    <row r="393" ht="15" customHeight="1">
      <c r="A393" t="inlineStr">
        <is>
          <t>A 9087-2026</t>
        </is>
      </c>
      <c r="B393" t="inlineStr">
        <is>
          <t>avverkningsanmälan</t>
        </is>
      </c>
      <c r="C393" t="inlineStr">
        <is>
          <t>Föryngringsavverkning</t>
        </is>
      </c>
      <c r="D393" s="1" t="n">
        <v>46069</v>
      </c>
      <c r="E393" s="1" t="n">
        <v>46320</v>
      </c>
      <c r="F393" t="inlineStr">
        <is>
          <t>VÄRMLANDS LÄN</t>
        </is>
      </c>
      <c r="G393" t="inlineStr">
        <is>
          <t>EDA</t>
        </is>
      </c>
      <c r="I393" t="n">
        <v>0.9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s="2" t="inlineStr"/>
    </row>
    <row r="394" ht="15" customHeight="1">
      <c r="A394" t="inlineStr">
        <is>
          <t>A 8919-2026</t>
        </is>
      </c>
      <c r="B394" t="inlineStr">
        <is>
          <t>avverkningsanmälan</t>
        </is>
      </c>
      <c r="C394" t="inlineStr">
        <is>
          <t>Föryngringsavverkning</t>
        </is>
      </c>
      <c r="D394" s="1" t="n">
        <v>46069</v>
      </c>
      <c r="E394" s="1" t="n">
        <v>46320</v>
      </c>
      <c r="F394" t="inlineStr">
        <is>
          <t>VÄRMLANDS LÄN</t>
        </is>
      </c>
      <c r="G394" t="inlineStr">
        <is>
          <t>EDA</t>
        </is>
      </c>
      <c r="I394" t="n">
        <v>5.2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s="2" t="inlineStr"/>
    </row>
    <row r="395" ht="15" customHeight="1">
      <c r="A395" t="inlineStr">
        <is>
          <t>A 28287-2025</t>
        </is>
      </c>
      <c r="B395" t="inlineStr">
        <is>
          <t>avverkningsanmälan</t>
        </is>
      </c>
      <c r="C395" t="inlineStr">
        <is>
          <t>Föryngringsavverkning</t>
        </is>
      </c>
      <c r="D395" s="1" t="n">
        <v>45818</v>
      </c>
      <c r="E395" s="1" t="n">
        <v>46320</v>
      </c>
      <c r="F395" t="inlineStr">
        <is>
          <t>VÄRMLANDS LÄN</t>
        </is>
      </c>
      <c r="G395" t="inlineStr">
        <is>
          <t>EDA</t>
        </is>
      </c>
      <c r="I395" t="n">
        <v>5.1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s="2" t="inlineStr"/>
    </row>
    <row r="396" ht="15" customHeight="1">
      <c r="A396" t="inlineStr">
        <is>
          <t>A 48406-2024</t>
        </is>
      </c>
      <c r="B396" t="inlineStr">
        <is>
          <t>avverkningsanmälan</t>
        </is>
      </c>
      <c r="C396" t="inlineStr">
        <is>
          <t>Föryngringsavverkning</t>
        </is>
      </c>
      <c r="D396" s="1" t="n">
        <v>45590</v>
      </c>
      <c r="E396" s="1" t="n">
        <v>46320</v>
      </c>
      <c r="F396" t="inlineStr">
        <is>
          <t>VÄRMLANDS LÄN</t>
        </is>
      </c>
      <c r="G396" t="inlineStr">
        <is>
          <t>EDA</t>
        </is>
      </c>
      <c r="I396" t="n">
        <v>3.4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s="2" t="inlineStr"/>
    </row>
    <row r="397" ht="15" customHeight="1">
      <c r="A397" t="inlineStr">
        <is>
          <t>A 28324-2025</t>
        </is>
      </c>
      <c r="B397" t="inlineStr">
        <is>
          <t>avverkningsanmälan</t>
        </is>
      </c>
      <c r="C397" t="inlineStr">
        <is>
          <t>Föryngringsavverkning</t>
        </is>
      </c>
      <c r="D397" s="1" t="n">
        <v>45818</v>
      </c>
      <c r="E397" s="1" t="n">
        <v>46320</v>
      </c>
      <c r="F397" t="inlineStr">
        <is>
          <t>VÄRMLANDS LÄN</t>
        </is>
      </c>
      <c r="G397" t="inlineStr">
        <is>
          <t>EDA</t>
        </is>
      </c>
      <c r="I397" t="n">
        <v>3.9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s="2" t="inlineStr"/>
    </row>
    <row r="398" ht="15" customHeight="1">
      <c r="A398" t="inlineStr">
        <is>
          <t>A 28326-2025</t>
        </is>
      </c>
      <c r="B398" t="inlineStr">
        <is>
          <t>avverkningsanmälan</t>
        </is>
      </c>
      <c r="C398" t="inlineStr">
        <is>
          <t>Föryngringsavverkning</t>
        </is>
      </c>
      <c r="D398" s="1" t="n">
        <v>45818</v>
      </c>
      <c r="E398" s="1" t="n">
        <v>46320</v>
      </c>
      <c r="F398" t="inlineStr">
        <is>
          <t>VÄRMLANDS LÄN</t>
        </is>
      </c>
      <c r="G398" t="inlineStr">
        <is>
          <t>EDA</t>
        </is>
      </c>
      <c r="I398" t="n">
        <v>2.5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s="2" t="inlineStr"/>
    </row>
    <row r="399" ht="15" customHeight="1">
      <c r="A399" t="inlineStr">
        <is>
          <t>A 63755-2023</t>
        </is>
      </c>
      <c r="B399" t="inlineStr">
        <is>
          <t>avverkningsanmälan</t>
        </is>
      </c>
      <c r="C399" t="inlineStr">
        <is>
          <t>Föryngringsavverkning</t>
        </is>
      </c>
      <c r="D399" s="1" t="n">
        <v>45278</v>
      </c>
      <c r="E399" s="1" t="n">
        <v>46320</v>
      </c>
      <c r="F399" t="inlineStr">
        <is>
          <t>VÄRMLANDS LÄN</t>
        </is>
      </c>
      <c r="G399" t="inlineStr">
        <is>
          <t>EDA</t>
        </is>
      </c>
      <c r="I399" t="n">
        <v>1.5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s="2" t="inlineStr"/>
    </row>
    <row r="400" ht="15" customHeight="1">
      <c r="A400" t="inlineStr">
        <is>
          <t>A 17746-2025</t>
        </is>
      </c>
      <c r="B400" t="inlineStr">
        <is>
          <t>avverkningsanmälan</t>
        </is>
      </c>
      <c r="C400" t="inlineStr">
        <is>
          <t>Föryngringsavverkning</t>
        </is>
      </c>
      <c r="D400" s="1" t="n">
        <v>45758</v>
      </c>
      <c r="E400" s="1" t="n">
        <v>46320</v>
      </c>
      <c r="F400" t="inlineStr">
        <is>
          <t>VÄRMLANDS LÄN</t>
        </is>
      </c>
      <c r="G400" t="inlineStr">
        <is>
          <t>EDA</t>
        </is>
      </c>
      <c r="I400" t="n">
        <v>0.7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s="2" t="inlineStr"/>
    </row>
    <row r="401" ht="15" customHeight="1">
      <c r="A401" t="inlineStr">
        <is>
          <t>A 33986-2026</t>
        </is>
      </c>
      <c r="B401" t="inlineStr">
        <is>
          <t>avverkningsanmälan</t>
        </is>
      </c>
      <c r="C401" t="inlineStr">
        <is>
          <t>Föryngringsavverkning</t>
        </is>
      </c>
      <c r="D401" s="1" t="n">
        <v>46252</v>
      </c>
      <c r="E401" s="1" t="n">
        <v>46320</v>
      </c>
      <c r="F401" t="inlineStr">
        <is>
          <t>VÄRMLANDS LÄN</t>
        </is>
      </c>
      <c r="G401" t="inlineStr">
        <is>
          <t>EDA</t>
        </is>
      </c>
      <c r="I401" t="n">
        <v>1.6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s="2" t="inlineStr"/>
    </row>
    <row r="402" ht="15" customHeight="1">
      <c r="A402" t="inlineStr">
        <is>
          <t>A 11469-2026</t>
        </is>
      </c>
      <c r="B402" t="inlineStr">
        <is>
          <t>avverkningsanmälan</t>
        </is>
      </c>
      <c r="C402" t="inlineStr">
        <is>
          <t>Föryngringsavverkning</t>
        </is>
      </c>
      <c r="D402" s="1" t="n">
        <v>46083</v>
      </c>
      <c r="E402" s="1" t="n">
        <v>46320</v>
      </c>
      <c r="F402" t="inlineStr">
        <is>
          <t>VÄRMLANDS LÄN</t>
        </is>
      </c>
      <c r="G402" t="inlineStr">
        <is>
          <t>EDA</t>
        </is>
      </c>
      <c r="I402" t="n">
        <v>1.7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s="2" t="inlineStr"/>
    </row>
    <row r="403" ht="15" customHeight="1">
      <c r="A403" t="inlineStr">
        <is>
          <t>A 11485-2026</t>
        </is>
      </c>
      <c r="B403" t="inlineStr">
        <is>
          <t>avverkningsanmälan</t>
        </is>
      </c>
      <c r="C403" t="inlineStr">
        <is>
          <t>Föryngringsavverkning</t>
        </is>
      </c>
      <c r="D403" s="1" t="n">
        <v>46083</v>
      </c>
      <c r="E403" s="1" t="n">
        <v>46320</v>
      </c>
      <c r="F403" t="inlineStr">
        <is>
          <t>VÄRMLANDS LÄN</t>
        </is>
      </c>
      <c r="G403" t="inlineStr">
        <is>
          <t>EDA</t>
        </is>
      </c>
      <c r="I403" t="n">
        <v>1.3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s="2" t="inlineStr"/>
    </row>
    <row r="404" ht="15" customHeight="1">
      <c r="A404" t="inlineStr">
        <is>
          <t>A 34117-2026</t>
        </is>
      </c>
      <c r="B404" t="inlineStr">
        <is>
          <t>avverkningsanmälan</t>
        </is>
      </c>
      <c r="C404" t="inlineStr">
        <is>
          <t>Föryngringsavverkning</t>
        </is>
      </c>
      <c r="D404" s="1" t="n">
        <v>46253</v>
      </c>
      <c r="E404" s="1" t="n">
        <v>46320</v>
      </c>
      <c r="F404" t="inlineStr">
        <is>
          <t>VÄRMLANDS LÄN</t>
        </is>
      </c>
      <c r="G404" t="inlineStr">
        <is>
          <t>EDA</t>
        </is>
      </c>
      <c r="I404" t="n">
        <v>0.9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s="2" t="inlineStr"/>
    </row>
    <row r="405" ht="15" customHeight="1">
      <c r="A405" t="inlineStr">
        <is>
          <t>A 11562-2026</t>
        </is>
      </c>
      <c r="B405" t="inlineStr">
        <is>
          <t>avverkningsanmälan</t>
        </is>
      </c>
      <c r="C405" t="inlineStr">
        <is>
          <t>Föryngringsavverkning</t>
        </is>
      </c>
      <c r="D405" s="1" t="n">
        <v>46084</v>
      </c>
      <c r="E405" s="1" t="n">
        <v>46320</v>
      </c>
      <c r="F405" t="inlineStr">
        <is>
          <t>VÄRMLANDS LÄN</t>
        </is>
      </c>
      <c r="G405" t="inlineStr">
        <is>
          <t>EDA</t>
        </is>
      </c>
      <c r="I405" t="n">
        <v>5.5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s="2" t="inlineStr"/>
    </row>
    <row r="406" ht="15" customHeight="1">
      <c r="A406" t="inlineStr">
        <is>
          <t>A 11983-2026</t>
        </is>
      </c>
      <c r="B406" t="inlineStr">
        <is>
          <t>avverkningsanmälan</t>
        </is>
      </c>
      <c r="C406" t="inlineStr">
        <is>
          <t>Föryngringsavverkning</t>
        </is>
      </c>
      <c r="D406" s="1" t="n">
        <v>46085</v>
      </c>
      <c r="E406" s="1" t="n">
        <v>46320</v>
      </c>
      <c r="F406" t="inlineStr">
        <is>
          <t>VÄRMLANDS LÄN</t>
        </is>
      </c>
      <c r="G406" t="inlineStr">
        <is>
          <t>EDA</t>
        </is>
      </c>
      <c r="I406" t="n">
        <v>1.5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s="2" t="inlineStr"/>
    </row>
    <row r="407" ht="15" customHeight="1">
      <c r="A407" t="inlineStr">
        <is>
          <t>A 11985-2026</t>
        </is>
      </c>
      <c r="B407" t="inlineStr">
        <is>
          <t>avverkningsanmälan</t>
        </is>
      </c>
      <c r="C407" t="inlineStr">
        <is>
          <t>Föryngringsavverkning</t>
        </is>
      </c>
      <c r="D407" s="1" t="n">
        <v>46085</v>
      </c>
      <c r="E407" s="1" t="n">
        <v>46320</v>
      </c>
      <c r="F407" t="inlineStr">
        <is>
          <t>VÄRMLANDS LÄN</t>
        </is>
      </c>
      <c r="G407" t="inlineStr">
        <is>
          <t>EDA</t>
        </is>
      </c>
      <c r="I407" t="n">
        <v>1.5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s="2" t="inlineStr"/>
    </row>
    <row r="408" ht="15" customHeight="1">
      <c r="A408" t="inlineStr">
        <is>
          <t>A 12003-2026</t>
        </is>
      </c>
      <c r="B408" t="inlineStr">
        <is>
          <t>avverkningsanmälan</t>
        </is>
      </c>
      <c r="C408" t="inlineStr">
        <is>
          <t>Föryngringsavverkning</t>
        </is>
      </c>
      <c r="D408" s="1" t="n">
        <v>46085</v>
      </c>
      <c r="E408" s="1" t="n">
        <v>46320</v>
      </c>
      <c r="F408" t="inlineStr">
        <is>
          <t>VÄRMLANDS LÄN</t>
        </is>
      </c>
      <c r="G408" t="inlineStr">
        <is>
          <t>EDA</t>
        </is>
      </c>
      <c r="I408" t="n">
        <v>5.3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s="2" t="inlineStr"/>
    </row>
    <row r="409" ht="15" customHeight="1">
      <c r="A409" t="inlineStr">
        <is>
          <t>A 40860-2026</t>
        </is>
      </c>
      <c r="B409" t="inlineStr">
        <is>
          <t>avverkningsanmälan</t>
        </is>
      </c>
      <c r="C409" t="inlineStr">
        <is>
          <t>Föryngringsavverkning</t>
        </is>
      </c>
      <c r="D409" s="1" t="n">
        <v>46297</v>
      </c>
      <c r="E409" s="1" t="n">
        <v>46320</v>
      </c>
      <c r="F409" t="inlineStr">
        <is>
          <t>VÄRMLANDS LÄN</t>
        </is>
      </c>
      <c r="G409" t="inlineStr">
        <is>
          <t>EDA</t>
        </is>
      </c>
      <c r="I409" t="n">
        <v>1.1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s="2" t="inlineStr"/>
    </row>
    <row r="410" ht="15" customHeight="1">
      <c r="A410" t="inlineStr">
        <is>
          <t>A 32133-2025</t>
        </is>
      </c>
      <c r="B410" t="inlineStr">
        <is>
          <t>avverkningsanmälan</t>
        </is>
      </c>
      <c r="C410" t="inlineStr">
        <is>
          <t>Föryngringsavverkning</t>
        </is>
      </c>
      <c r="D410" s="1" t="n">
        <v>45835</v>
      </c>
      <c r="E410" s="1" t="n">
        <v>46320</v>
      </c>
      <c r="F410" t="inlineStr">
        <is>
          <t>VÄRMLANDS LÄN</t>
        </is>
      </c>
      <c r="G410" t="inlineStr">
        <is>
          <t>EDA</t>
        </is>
      </c>
      <c r="I410" t="n">
        <v>0.7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s="2" t="inlineStr"/>
    </row>
    <row r="411" ht="15" customHeight="1">
      <c r="A411" t="inlineStr">
        <is>
          <t>A 32403-2025</t>
        </is>
      </c>
      <c r="B411" t="inlineStr">
        <is>
          <t>avverkningsanmälan</t>
        </is>
      </c>
      <c r="C411" t="inlineStr">
        <is>
          <t>Föryngringsavverkning</t>
        </is>
      </c>
      <c r="D411" s="1" t="n">
        <v>45838</v>
      </c>
      <c r="E411" s="1" t="n">
        <v>46320</v>
      </c>
      <c r="F411" t="inlineStr">
        <is>
          <t>VÄRMLANDS LÄN</t>
        </is>
      </c>
      <c r="G411" t="inlineStr">
        <is>
          <t>EDA</t>
        </is>
      </c>
      <c r="I411" t="n">
        <v>1.3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s="2" t="inlineStr"/>
    </row>
    <row r="412" ht="15" customHeight="1">
      <c r="A412" t="inlineStr">
        <is>
          <t>A 12508-2026</t>
        </is>
      </c>
      <c r="B412" t="inlineStr">
        <is>
          <t>avverkningsanmälan</t>
        </is>
      </c>
      <c r="C412" t="inlineStr">
        <is>
          <t>Föryngringsavverkning</t>
        </is>
      </c>
      <c r="D412" s="1" t="n">
        <v>46090</v>
      </c>
      <c r="E412" s="1" t="n">
        <v>46320</v>
      </c>
      <c r="F412" t="inlineStr">
        <is>
          <t>VÄRMLANDS LÄN</t>
        </is>
      </c>
      <c r="G412" t="inlineStr">
        <is>
          <t>EDA</t>
        </is>
      </c>
      <c r="H412" t="inlineStr">
        <is>
          <t>Bergvik skog väst AB</t>
        </is>
      </c>
      <c r="I412" t="n">
        <v>10.5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s="2" t="inlineStr"/>
    </row>
    <row r="413" ht="15" customHeight="1">
      <c r="A413" t="inlineStr">
        <is>
          <t>A 32406-2025</t>
        </is>
      </c>
      <c r="B413" t="inlineStr">
        <is>
          <t>avverkningsanmälan</t>
        </is>
      </c>
      <c r="C413" t="inlineStr">
        <is>
          <t>Föryngringsavverkning</t>
        </is>
      </c>
      <c r="D413" s="1" t="n">
        <v>45838</v>
      </c>
      <c r="E413" s="1" t="n">
        <v>46320</v>
      </c>
      <c r="F413" t="inlineStr">
        <is>
          <t>VÄRMLANDS LÄN</t>
        </is>
      </c>
      <c r="G413" t="inlineStr">
        <is>
          <t>EDA</t>
        </is>
      </c>
      <c r="I413" t="n">
        <v>5.9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s="2" t="inlineStr"/>
    </row>
    <row r="414" ht="15" customHeight="1">
      <c r="A414" t="inlineStr">
        <is>
          <t>A 40859-2026</t>
        </is>
      </c>
      <c r="B414" t="inlineStr">
        <is>
          <t>avverkningsanmälan</t>
        </is>
      </c>
      <c r="C414" t="inlineStr">
        <is>
          <t>Föryngringsavverkning</t>
        </is>
      </c>
      <c r="D414" s="1" t="n">
        <v>46297</v>
      </c>
      <c r="E414" s="1" t="n">
        <v>46320</v>
      </c>
      <c r="F414" t="inlineStr">
        <is>
          <t>VÄRMLANDS LÄN</t>
        </is>
      </c>
      <c r="G414" t="inlineStr">
        <is>
          <t>EDA</t>
        </is>
      </c>
      <c r="I414" t="n">
        <v>2.8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s="2" t="inlineStr"/>
    </row>
    <row r="415" ht="15" customHeight="1">
      <c r="A415" t="inlineStr">
        <is>
          <t>A 12911-2026</t>
        </is>
      </c>
      <c r="B415" t="inlineStr">
        <is>
          <t>avverkningsanmälan</t>
        </is>
      </c>
      <c r="C415" t="inlineStr">
        <is>
          <t>Föryngringsavverkning</t>
        </is>
      </c>
      <c r="D415" s="1" t="n">
        <v>46092</v>
      </c>
      <c r="E415" s="1" t="n">
        <v>46320</v>
      </c>
      <c r="F415" t="inlineStr">
        <is>
          <t>VÄRMLANDS LÄN</t>
        </is>
      </c>
      <c r="G415" t="inlineStr">
        <is>
          <t>EDA</t>
        </is>
      </c>
      <c r="I415" t="n">
        <v>1.9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s="2" t="inlineStr"/>
    </row>
    <row r="416" ht="15" customHeight="1">
      <c r="A416" t="inlineStr">
        <is>
          <t>A 32863-2025</t>
        </is>
      </c>
      <c r="B416" t="inlineStr">
        <is>
          <t>avverkningsanmälan</t>
        </is>
      </c>
      <c r="C416" t="inlineStr">
        <is>
          <t>Föryngringsavverkning</t>
        </is>
      </c>
      <c r="D416" s="1" t="n">
        <v>45839</v>
      </c>
      <c r="E416" s="1" t="n">
        <v>46320</v>
      </c>
      <c r="F416" t="inlineStr">
        <is>
          <t>VÄRMLANDS LÄN</t>
        </is>
      </c>
      <c r="G416" t="inlineStr">
        <is>
          <t>EDA</t>
        </is>
      </c>
      <c r="I416" t="n">
        <v>2.4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s="2" t="inlineStr"/>
    </row>
    <row r="417" ht="15" customHeight="1">
      <c r="A417" t="inlineStr">
        <is>
          <t>A 12914-2026</t>
        </is>
      </c>
      <c r="B417" t="inlineStr">
        <is>
          <t>avverkningsanmälan</t>
        </is>
      </c>
      <c r="C417" t="inlineStr">
        <is>
          <t>Föryngringsavverkning</t>
        </is>
      </c>
      <c r="D417" s="1" t="n">
        <v>46092</v>
      </c>
      <c r="E417" s="1" t="n">
        <v>46320</v>
      </c>
      <c r="F417" t="inlineStr">
        <is>
          <t>VÄRMLANDS LÄN</t>
        </is>
      </c>
      <c r="G417" t="inlineStr">
        <is>
          <t>EDA</t>
        </is>
      </c>
      <c r="I417" t="n">
        <v>0.8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s="2" t="inlineStr"/>
    </row>
    <row r="418" ht="15" customHeight="1">
      <c r="A418" t="inlineStr">
        <is>
          <t>A 12925-2026</t>
        </is>
      </c>
      <c r="B418" t="inlineStr">
        <is>
          <t>avverkningsanmälan</t>
        </is>
      </c>
      <c r="C418" t="inlineStr">
        <is>
          <t>Föryngringsavverkning</t>
        </is>
      </c>
      <c r="D418" s="1" t="n">
        <v>46092</v>
      </c>
      <c r="E418" s="1" t="n">
        <v>46320</v>
      </c>
      <c r="F418" t="inlineStr">
        <is>
          <t>VÄRMLANDS LÄN</t>
        </is>
      </c>
      <c r="G418" t="inlineStr">
        <is>
          <t>EDA</t>
        </is>
      </c>
      <c r="I418" t="n">
        <v>0.7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s="2" t="inlineStr"/>
    </row>
    <row r="419" ht="15" customHeight="1">
      <c r="A419" t="inlineStr">
        <is>
          <t>A 12926-2026</t>
        </is>
      </c>
      <c r="B419" t="inlineStr">
        <is>
          <t>avverkningsanmälan</t>
        </is>
      </c>
      <c r="C419" t="inlineStr">
        <is>
          <t>Föryngringsavverkning</t>
        </is>
      </c>
      <c r="D419" s="1" t="n">
        <v>46092</v>
      </c>
      <c r="E419" s="1" t="n">
        <v>46320</v>
      </c>
      <c r="F419" t="inlineStr">
        <is>
          <t>VÄRMLANDS LÄN</t>
        </is>
      </c>
      <c r="G419" t="inlineStr">
        <is>
          <t>EDA</t>
        </is>
      </c>
      <c r="I419" t="n">
        <v>4.2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s="2" t="inlineStr"/>
    </row>
    <row r="420" ht="15" customHeight="1">
      <c r="A420" t="inlineStr">
        <is>
          <t>A 12927-2026</t>
        </is>
      </c>
      <c r="B420" t="inlineStr">
        <is>
          <t>avverkningsanmälan</t>
        </is>
      </c>
      <c r="C420" t="inlineStr">
        <is>
          <t>Föryngringsavverkning</t>
        </is>
      </c>
      <c r="D420" s="1" t="n">
        <v>46092</v>
      </c>
      <c r="E420" s="1" t="n">
        <v>46320</v>
      </c>
      <c r="F420" t="inlineStr">
        <is>
          <t>VÄRMLANDS LÄN</t>
        </is>
      </c>
      <c r="G420" t="inlineStr">
        <is>
          <t>EDA</t>
        </is>
      </c>
      <c r="I420" t="n">
        <v>5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s="2" t="inlineStr"/>
    </row>
    <row r="421" ht="15" customHeight="1">
      <c r="A421" t="inlineStr">
        <is>
          <t>A 32790-2025</t>
        </is>
      </c>
      <c r="B421" t="inlineStr">
        <is>
          <t>avverkningsanmälan</t>
        </is>
      </c>
      <c r="C421" t="inlineStr">
        <is>
          <t>Föryngringsavverkning</t>
        </is>
      </c>
      <c r="D421" s="1" t="n">
        <v>45839</v>
      </c>
      <c r="E421" s="1" t="n">
        <v>46320</v>
      </c>
      <c r="F421" t="inlineStr">
        <is>
          <t>VÄRMLANDS LÄN</t>
        </is>
      </c>
      <c r="G421" t="inlineStr">
        <is>
          <t>EDA</t>
        </is>
      </c>
      <c r="I421" t="n">
        <v>0.6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s="2" t="inlineStr"/>
    </row>
    <row r="422" ht="15" customHeight="1">
      <c r="A422" t="inlineStr">
        <is>
          <t>A 12909-2026</t>
        </is>
      </c>
      <c r="B422" t="inlineStr">
        <is>
          <t>avverkningsanmälan</t>
        </is>
      </c>
      <c r="C422" t="inlineStr">
        <is>
          <t>Föryngringsavverkning</t>
        </is>
      </c>
      <c r="D422" s="1" t="n">
        <v>46092</v>
      </c>
      <c r="E422" s="1" t="n">
        <v>46320</v>
      </c>
      <c r="F422" t="inlineStr">
        <is>
          <t>VÄRMLANDS LÄN</t>
        </is>
      </c>
      <c r="G422" t="inlineStr">
        <is>
          <t>EDA</t>
        </is>
      </c>
      <c r="I422" t="n">
        <v>1.9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s="2" t="inlineStr"/>
    </row>
    <row r="423" ht="15" customHeight="1">
      <c r="A423" t="inlineStr">
        <is>
          <t>A 30369-2024</t>
        </is>
      </c>
      <c r="B423" t="inlineStr">
        <is>
          <t>avverkningsanmälan</t>
        </is>
      </c>
      <c r="C423" t="inlineStr">
        <is>
          <t>Föryngringsavverkning</t>
        </is>
      </c>
      <c r="D423" s="1" t="n">
        <v>45491</v>
      </c>
      <c r="E423" s="1" t="n">
        <v>46320</v>
      </c>
      <c r="F423" t="inlineStr">
        <is>
          <t>VÄRMLANDS LÄN</t>
        </is>
      </c>
      <c r="G423" t="inlineStr">
        <is>
          <t>EDA</t>
        </is>
      </c>
      <c r="I423" t="n">
        <v>1.6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s="2" t="inlineStr"/>
    </row>
    <row r="424" ht="15" customHeight="1">
      <c r="A424" t="inlineStr">
        <is>
          <t>A 14206-2026</t>
        </is>
      </c>
      <c r="B424" t="inlineStr">
        <is>
          <t>avverkningsanmälan</t>
        </is>
      </c>
      <c r="C424" t="inlineStr">
        <is>
          <t>Föryngringsavverkning</t>
        </is>
      </c>
      <c r="D424" s="1" t="n">
        <v>46099</v>
      </c>
      <c r="E424" s="1" t="n">
        <v>46320</v>
      </c>
      <c r="F424" t="inlineStr">
        <is>
          <t>VÄRMLANDS LÄN</t>
        </is>
      </c>
      <c r="G424" t="inlineStr">
        <is>
          <t>EDA</t>
        </is>
      </c>
      <c r="I424" t="n">
        <v>3.1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s="2" t="inlineStr"/>
    </row>
    <row r="425" ht="15" customHeight="1">
      <c r="A425" t="inlineStr">
        <is>
          <t>A 40889-2026</t>
        </is>
      </c>
      <c r="B425" t="inlineStr">
        <is>
          <t>avverkningsanmälan</t>
        </is>
      </c>
      <c r="C425" t="inlineStr">
        <is>
          <t>Föryngringsavverkning</t>
        </is>
      </c>
      <c r="D425" s="1" t="n">
        <v>46297</v>
      </c>
      <c r="E425" s="1" t="n">
        <v>46320</v>
      </c>
      <c r="F425" t="inlineStr">
        <is>
          <t>VÄRMLANDS LÄN</t>
        </is>
      </c>
      <c r="G425" t="inlineStr">
        <is>
          <t>EDA</t>
        </is>
      </c>
      <c r="H425" t="inlineStr">
        <is>
          <t>Kyrkan</t>
        </is>
      </c>
      <c r="I425" t="n">
        <v>3.4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s="2" t="inlineStr"/>
    </row>
    <row r="426" ht="15" customHeight="1">
      <c r="A426" t="inlineStr">
        <is>
          <t>A 14208-2026</t>
        </is>
      </c>
      <c r="B426" t="inlineStr">
        <is>
          <t>avverkningsanmälan</t>
        </is>
      </c>
      <c r="C426" t="inlineStr">
        <is>
          <t>Föryngringsavverkning</t>
        </is>
      </c>
      <c r="D426" s="1" t="n">
        <v>46099</v>
      </c>
      <c r="E426" s="1" t="n">
        <v>46320</v>
      </c>
      <c r="F426" t="inlineStr">
        <is>
          <t>VÄRMLANDS LÄN</t>
        </is>
      </c>
      <c r="G426" t="inlineStr">
        <is>
          <t>EDA</t>
        </is>
      </c>
      <c r="I426" t="n">
        <v>4.2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s="2" t="inlineStr"/>
    </row>
    <row r="427" ht="15" customHeight="1">
      <c r="A427" t="inlineStr">
        <is>
          <t>A 33416-2025</t>
        </is>
      </c>
      <c r="B427" t="inlineStr">
        <is>
          <t>avverkningsanmälan</t>
        </is>
      </c>
      <c r="C427" t="inlineStr">
        <is>
          <t>Föryngringsavverkning</t>
        </is>
      </c>
      <c r="D427" s="1" t="n">
        <v>45841</v>
      </c>
      <c r="E427" s="1" t="n">
        <v>46320</v>
      </c>
      <c r="F427" t="inlineStr">
        <is>
          <t>VÄRMLANDS LÄN</t>
        </is>
      </c>
      <c r="G427" t="inlineStr">
        <is>
          <t>EDA</t>
        </is>
      </c>
      <c r="I427" t="n">
        <v>0.5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s="2" t="inlineStr"/>
    </row>
    <row r="428" ht="15" customHeight="1">
      <c r="A428" t="inlineStr">
        <is>
          <t>A 33420-2026</t>
        </is>
      </c>
      <c r="B428" t="inlineStr">
        <is>
          <t>avverkningsanmälan</t>
        </is>
      </c>
      <c r="C428" t="inlineStr">
        <is>
          <t>Föryngringsavverkning</t>
        </is>
      </c>
      <c r="D428" s="1" t="n">
        <v>46247</v>
      </c>
      <c r="E428" s="1" t="n">
        <v>46320</v>
      </c>
      <c r="F428" t="inlineStr">
        <is>
          <t>VÄRMLANDS LÄN</t>
        </is>
      </c>
      <c r="G428" t="inlineStr">
        <is>
          <t>EDA</t>
        </is>
      </c>
      <c r="I428" t="n">
        <v>3.2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s="2" t="inlineStr"/>
    </row>
    <row r="429" ht="15" customHeight="1">
      <c r="A429" t="inlineStr">
        <is>
          <t>A 35722-2024</t>
        </is>
      </c>
      <c r="B429" t="inlineStr">
        <is>
          <t>avverkningsanmälan</t>
        </is>
      </c>
      <c r="C429" t="inlineStr">
        <is>
          <t>Avverkning för annat ändamål</t>
        </is>
      </c>
      <c r="D429" s="1" t="n">
        <v>45532</v>
      </c>
      <c r="E429" s="1" t="n">
        <v>46320</v>
      </c>
      <c r="F429" t="inlineStr">
        <is>
          <t>VÄRMLANDS LÄN</t>
        </is>
      </c>
      <c r="G429" t="inlineStr">
        <is>
          <t>EDA</t>
        </is>
      </c>
      <c r="I429" t="n">
        <v>0.2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s="2" t="inlineStr"/>
    </row>
    <row r="430" ht="15" customHeight="1">
      <c r="A430" t="inlineStr">
        <is>
          <t>A 2905-2023</t>
        </is>
      </c>
      <c r="B430" t="inlineStr">
        <is>
          <t>avverkningsanmälan</t>
        </is>
      </c>
      <c r="C430" t="inlineStr">
        <is>
          <t>Föryngringsavverkning</t>
        </is>
      </c>
      <c r="D430" s="1" t="n">
        <v>44943</v>
      </c>
      <c r="E430" s="1" t="n">
        <v>46320</v>
      </c>
      <c r="F430" t="inlineStr">
        <is>
          <t>VÄRMLANDS LÄN</t>
        </is>
      </c>
      <c r="G430" t="inlineStr">
        <is>
          <t>EDA</t>
        </is>
      </c>
      <c r="I430" t="n">
        <v>2.3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s="2" t="inlineStr"/>
    </row>
    <row r="431" ht="15" customHeight="1">
      <c r="A431" t="inlineStr">
        <is>
          <t>A 6858-2022</t>
        </is>
      </c>
      <c r="B431" t="inlineStr">
        <is>
          <t>avverkningsanmälan</t>
        </is>
      </c>
      <c r="C431" t="inlineStr">
        <is>
          <t>Föryngringsavverkning</t>
        </is>
      </c>
      <c r="D431" s="1" t="n">
        <v>44602</v>
      </c>
      <c r="E431" s="1" t="n">
        <v>46320</v>
      </c>
      <c r="F431" t="inlineStr">
        <is>
          <t>VÄRMLANDS LÄN</t>
        </is>
      </c>
      <c r="G431" t="inlineStr">
        <is>
          <t>EDA</t>
        </is>
      </c>
      <c r="I431" t="n">
        <v>0.9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s="2" t="inlineStr"/>
    </row>
    <row r="432" ht="15" customHeight="1">
      <c r="A432" t="inlineStr">
        <is>
          <t>A 14500-2026</t>
        </is>
      </c>
      <c r="B432" t="inlineStr">
        <is>
          <t>avverkningsanmälan</t>
        </is>
      </c>
      <c r="C432" t="inlineStr">
        <is>
          <t>Föryngringsavverkning</t>
        </is>
      </c>
      <c r="D432" s="1" t="n">
        <v>46100</v>
      </c>
      <c r="E432" s="1" t="n">
        <v>46320</v>
      </c>
      <c r="F432" t="inlineStr">
        <is>
          <t>VÄRMLANDS LÄN</t>
        </is>
      </c>
      <c r="G432" t="inlineStr">
        <is>
          <t>EDA</t>
        </is>
      </c>
      <c r="H432" t="inlineStr">
        <is>
          <t>Övriga Aktiebolag</t>
        </is>
      </c>
      <c r="I432" t="n">
        <v>3.6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s="2" t="inlineStr"/>
    </row>
    <row r="433" ht="15" customHeight="1">
      <c r="A433" t="inlineStr">
        <is>
          <t>A 37822-2024</t>
        </is>
      </c>
      <c r="B433" t="inlineStr">
        <is>
          <t>avverkningsanmälan</t>
        </is>
      </c>
      <c r="C433" t="inlineStr">
        <is>
          <t>Föryngringsavverkning</t>
        </is>
      </c>
      <c r="D433" s="1" t="n">
        <v>45544</v>
      </c>
      <c r="E433" s="1" t="n">
        <v>46320</v>
      </c>
      <c r="F433" t="inlineStr">
        <is>
          <t>VÄRMLANDS LÄN</t>
        </is>
      </c>
      <c r="G433" t="inlineStr">
        <is>
          <t>EDA</t>
        </is>
      </c>
      <c r="I433" t="n">
        <v>0.8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s="2" t="inlineStr"/>
    </row>
    <row r="434" ht="15" customHeight="1">
      <c r="A434" t="inlineStr">
        <is>
          <t>A 14670-2026</t>
        </is>
      </c>
      <c r="B434" t="inlineStr">
        <is>
          <t>avverkningsanmälan</t>
        </is>
      </c>
      <c r="C434" t="inlineStr">
        <is>
          <t>Föryngringsavverkning</t>
        </is>
      </c>
      <c r="D434" s="1" t="n">
        <v>46101</v>
      </c>
      <c r="E434" s="1" t="n">
        <v>46320</v>
      </c>
      <c r="F434" t="inlineStr">
        <is>
          <t>VÄRMLANDS LÄN</t>
        </is>
      </c>
      <c r="G434" t="inlineStr">
        <is>
          <t>EDA</t>
        </is>
      </c>
      <c r="I434" t="n">
        <v>0.7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s="2" t="inlineStr"/>
    </row>
    <row r="435" ht="15" customHeight="1">
      <c r="A435" t="inlineStr">
        <is>
          <t>A 28091-2025</t>
        </is>
      </c>
      <c r="B435" t="inlineStr">
        <is>
          <t>avverkningsanmälan</t>
        </is>
      </c>
      <c r="C435" t="inlineStr">
        <is>
          <t>Föryngringsavverkning</t>
        </is>
      </c>
      <c r="D435" s="1" t="n">
        <v>45817</v>
      </c>
      <c r="E435" s="1" t="n">
        <v>46320</v>
      </c>
      <c r="F435" t="inlineStr">
        <is>
          <t>VÄRMLANDS LÄN</t>
        </is>
      </c>
      <c r="G435" t="inlineStr">
        <is>
          <t>EDA</t>
        </is>
      </c>
      <c r="I435" t="n">
        <v>0.9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s="2" t="inlineStr"/>
    </row>
    <row r="436" ht="15" customHeight="1">
      <c r="A436" t="inlineStr">
        <is>
          <t>A 59192-2023</t>
        </is>
      </c>
      <c r="B436" t="inlineStr">
        <is>
          <t>avverkningsanmälan</t>
        </is>
      </c>
      <c r="C436" t="inlineStr">
        <is>
          <t>Föryngringsavverkning</t>
        </is>
      </c>
      <c r="D436" s="1" t="n">
        <v>45253</v>
      </c>
      <c r="E436" s="1" t="n">
        <v>46320</v>
      </c>
      <c r="F436" t="inlineStr">
        <is>
          <t>VÄRMLANDS LÄN</t>
        </is>
      </c>
      <c r="G436" t="inlineStr">
        <is>
          <t>EDA</t>
        </is>
      </c>
      <c r="I436" t="n">
        <v>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s="2" t="inlineStr"/>
    </row>
    <row r="437" ht="15" customHeight="1">
      <c r="A437" t="inlineStr">
        <is>
          <t>A 47759-2024</t>
        </is>
      </c>
      <c r="B437" t="inlineStr">
        <is>
          <t>avverkningsanmälan</t>
        </is>
      </c>
      <c r="C437" t="inlineStr">
        <is>
          <t>Föryngringsavverkning</t>
        </is>
      </c>
      <c r="D437" s="1" t="n">
        <v>45588</v>
      </c>
      <c r="E437" s="1" t="n">
        <v>46320</v>
      </c>
      <c r="F437" t="inlineStr">
        <is>
          <t>VÄRMLANDS LÄN</t>
        </is>
      </c>
      <c r="G437" t="inlineStr">
        <is>
          <t>EDA</t>
        </is>
      </c>
      <c r="I437" t="n">
        <v>3.7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s="2" t="inlineStr"/>
    </row>
    <row r="438" ht="15" customHeight="1">
      <c r="A438" t="inlineStr">
        <is>
          <t>A 13453-2025</t>
        </is>
      </c>
      <c r="B438" t="inlineStr">
        <is>
          <t>avverkningsanmälan</t>
        </is>
      </c>
      <c r="C438" t="inlineStr">
        <is>
          <t>Föryngringsavverkning</t>
        </is>
      </c>
      <c r="D438" s="1" t="n">
        <v>45736</v>
      </c>
      <c r="E438" s="1" t="n">
        <v>46320</v>
      </c>
      <c r="F438" t="inlineStr">
        <is>
          <t>VÄRMLANDS LÄN</t>
        </is>
      </c>
      <c r="G438" t="inlineStr">
        <is>
          <t>EDA</t>
        </is>
      </c>
      <c r="I438" t="n">
        <v>3.9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s="2" t="inlineStr"/>
    </row>
    <row r="439" ht="15" customHeight="1">
      <c r="A439" t="inlineStr">
        <is>
          <t>A 14842-2026</t>
        </is>
      </c>
      <c r="B439" t="inlineStr">
        <is>
          <t>avverkningsanmälan</t>
        </is>
      </c>
      <c r="C439" t="inlineStr">
        <is>
          <t>Föryngringsavverkning</t>
        </is>
      </c>
      <c r="D439" s="1" t="n">
        <v>46104</v>
      </c>
      <c r="E439" s="1" t="n">
        <v>46320</v>
      </c>
      <c r="F439" t="inlineStr">
        <is>
          <t>VÄRMLANDS LÄN</t>
        </is>
      </c>
      <c r="G439" t="inlineStr">
        <is>
          <t>EDA</t>
        </is>
      </c>
      <c r="I439" t="n">
        <v>0.9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s="2" t="inlineStr"/>
    </row>
    <row r="440" ht="15" customHeight="1">
      <c r="A440" t="inlineStr">
        <is>
          <t>A 21045-2023</t>
        </is>
      </c>
      <c r="B440" t="inlineStr">
        <is>
          <t>avverkningsanmälan</t>
        </is>
      </c>
      <c r="C440" t="inlineStr">
        <is>
          <t>Föryngringsavverkning</t>
        </is>
      </c>
      <c r="D440" s="1" t="n">
        <v>45061</v>
      </c>
      <c r="E440" s="1" t="n">
        <v>46320</v>
      </c>
      <c r="F440" t="inlineStr">
        <is>
          <t>VÄRMLANDS LÄN</t>
        </is>
      </c>
      <c r="G440" t="inlineStr">
        <is>
          <t>EDA</t>
        </is>
      </c>
      <c r="I440" t="n">
        <v>1.4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s="2" t="inlineStr"/>
    </row>
    <row r="441" ht="15" customHeight="1">
      <c r="A441" t="inlineStr">
        <is>
          <t>A 9506-2025</t>
        </is>
      </c>
      <c r="B441" t="inlineStr">
        <is>
          <t>avverkningsanmälan</t>
        </is>
      </c>
      <c r="C441" t="inlineStr">
        <is>
          <t>Föryngringsavverkning</t>
        </is>
      </c>
      <c r="D441" s="1" t="n">
        <v>45715</v>
      </c>
      <c r="E441" s="1" t="n">
        <v>46320</v>
      </c>
      <c r="F441" t="inlineStr">
        <is>
          <t>VÄRMLANDS LÄN</t>
        </is>
      </c>
      <c r="G441" t="inlineStr">
        <is>
          <t>EDA</t>
        </is>
      </c>
      <c r="I441" t="n">
        <v>3.9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s="2" t="inlineStr"/>
    </row>
    <row r="442" ht="15" customHeight="1">
      <c r="A442" t="inlineStr">
        <is>
          <t>A 41705-2023</t>
        </is>
      </c>
      <c r="B442" t="inlineStr">
        <is>
          <t>avverkningsanmälan</t>
        </is>
      </c>
      <c r="C442" t="inlineStr">
        <is>
          <t>Föryngringsavverkning</t>
        </is>
      </c>
      <c r="D442" s="1" t="n">
        <v>45176</v>
      </c>
      <c r="E442" s="1" t="n">
        <v>46320</v>
      </c>
      <c r="F442" t="inlineStr">
        <is>
          <t>VÄRMLANDS LÄN</t>
        </is>
      </c>
      <c r="G442" t="inlineStr">
        <is>
          <t>EDA</t>
        </is>
      </c>
      <c r="I442" t="n">
        <v>3.5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s="2" t="inlineStr"/>
    </row>
    <row r="443" ht="15" customHeight="1">
      <c r="A443" t="inlineStr">
        <is>
          <t>A 15682-2026</t>
        </is>
      </c>
      <c r="B443" t="inlineStr">
        <is>
          <t>avverkningsanmälan</t>
        </is>
      </c>
      <c r="C443" t="inlineStr">
        <is>
          <t>Föryngringsavverkning</t>
        </is>
      </c>
      <c r="D443" s="1" t="n">
        <v>46107</v>
      </c>
      <c r="E443" s="1" t="n">
        <v>46320</v>
      </c>
      <c r="F443" t="inlineStr">
        <is>
          <t>VÄRMLANDS LÄN</t>
        </is>
      </c>
      <c r="G443" t="inlineStr">
        <is>
          <t>EDA</t>
        </is>
      </c>
      <c r="I443" t="n">
        <v>1.9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s="2" t="inlineStr"/>
    </row>
    <row r="444" ht="15" customHeight="1">
      <c r="A444" t="inlineStr">
        <is>
          <t>A 34795-2025</t>
        </is>
      </c>
      <c r="B444" t="inlineStr">
        <is>
          <t>avverkningsanmälan</t>
        </is>
      </c>
      <c r="C444" t="inlineStr">
        <is>
          <t>Föryngringsavverkning</t>
        </is>
      </c>
      <c r="D444" s="1" t="n">
        <v>45848</v>
      </c>
      <c r="E444" s="1" t="n">
        <v>46320</v>
      </c>
      <c r="F444" t="inlineStr">
        <is>
          <t>VÄRMLANDS LÄN</t>
        </is>
      </c>
      <c r="G444" t="inlineStr">
        <is>
          <t>EDA</t>
        </is>
      </c>
      <c r="I444" t="n">
        <v>1.9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s="2" t="inlineStr"/>
    </row>
    <row r="445" ht="15" customHeight="1">
      <c r="A445" t="inlineStr">
        <is>
          <t>A 21140-2025</t>
        </is>
      </c>
      <c r="B445" t="inlineStr">
        <is>
          <t>avverkningsanmälan</t>
        </is>
      </c>
      <c r="C445" t="inlineStr">
        <is>
          <t>Avverkning för annat ändamål</t>
        </is>
      </c>
      <c r="D445" s="1" t="n">
        <v>45778</v>
      </c>
      <c r="E445" s="1" t="n">
        <v>46320</v>
      </c>
      <c r="F445" t="inlineStr">
        <is>
          <t>VÄRMLANDS LÄN</t>
        </is>
      </c>
      <c r="G445" t="inlineStr">
        <is>
          <t>EDA</t>
        </is>
      </c>
      <c r="I445" t="n">
        <v>1.4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s="2" t="inlineStr"/>
    </row>
    <row r="446" ht="15" customHeight="1">
      <c r="A446" t="inlineStr">
        <is>
          <t>A 35582-2025</t>
        </is>
      </c>
      <c r="B446" t="inlineStr">
        <is>
          <t>avverkningsanmälan</t>
        </is>
      </c>
      <c r="C446" t="inlineStr">
        <is>
          <t>Föryngringsavverkning</t>
        </is>
      </c>
      <c r="D446" s="1" t="n">
        <v>45856</v>
      </c>
      <c r="E446" s="1" t="n">
        <v>46320</v>
      </c>
      <c r="F446" t="inlineStr">
        <is>
          <t>VÄRMLANDS LÄN</t>
        </is>
      </c>
      <c r="G446" t="inlineStr">
        <is>
          <t>EDA</t>
        </is>
      </c>
      <c r="I446" t="n">
        <v>0.5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s="2" t="inlineStr"/>
    </row>
    <row r="447" ht="15" customHeight="1">
      <c r="A447" t="inlineStr">
        <is>
          <t>A 15956-2026</t>
        </is>
      </c>
      <c r="B447" t="inlineStr">
        <is>
          <t>avverkningsanmälan</t>
        </is>
      </c>
      <c r="C447" t="inlineStr">
        <is>
          <t>Avverkning för annat ändamål</t>
        </is>
      </c>
      <c r="D447" s="1" t="n">
        <v>46108</v>
      </c>
      <c r="E447" s="1" t="n">
        <v>46320</v>
      </c>
      <c r="F447" t="inlineStr">
        <is>
          <t>VÄRMLANDS LÄN</t>
        </is>
      </c>
      <c r="G447" t="inlineStr">
        <is>
          <t>EDA</t>
        </is>
      </c>
      <c r="I447" t="n">
        <v>3.5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s="2" t="inlineStr"/>
    </row>
    <row r="448" ht="15" customHeight="1">
      <c r="A448" t="inlineStr">
        <is>
          <t>A 16206-2026</t>
        </is>
      </c>
      <c r="B448" t="inlineStr">
        <is>
          <t>avverkningsanmälan</t>
        </is>
      </c>
      <c r="C448" t="inlineStr">
        <is>
          <t>Föryngringsavverkning</t>
        </is>
      </c>
      <c r="D448" s="1" t="n">
        <v>46108</v>
      </c>
      <c r="E448" s="1" t="n">
        <v>46320</v>
      </c>
      <c r="F448" t="inlineStr">
        <is>
          <t>VÄRMLANDS LÄN</t>
        </is>
      </c>
      <c r="G448" t="inlineStr">
        <is>
          <t>EDA</t>
        </is>
      </c>
      <c r="I448" t="n">
        <v>1.6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s="2" t="inlineStr"/>
    </row>
    <row r="449" ht="15" customHeight="1">
      <c r="A449" t="inlineStr">
        <is>
          <t>A 45466-2022</t>
        </is>
      </c>
      <c r="B449" t="inlineStr">
        <is>
          <t>avverkningsanmälan</t>
        </is>
      </c>
      <c r="C449" t="inlineStr">
        <is>
          <t>Föryngringsavverkning</t>
        </is>
      </c>
      <c r="D449" s="1" t="n">
        <v>44845</v>
      </c>
      <c r="E449" s="1" t="n">
        <v>46320</v>
      </c>
      <c r="F449" t="inlineStr">
        <is>
          <t>VÄRMLANDS LÄN</t>
        </is>
      </c>
      <c r="G449" t="inlineStr">
        <is>
          <t>EDA</t>
        </is>
      </c>
      <c r="I449" t="n">
        <v>1.2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s="2" t="inlineStr"/>
    </row>
    <row r="450" ht="15" customHeight="1">
      <c r="A450" t="inlineStr">
        <is>
          <t>A 17225-2026</t>
        </is>
      </c>
      <c r="B450" t="inlineStr">
        <is>
          <t>avverkningsanmälan</t>
        </is>
      </c>
      <c r="C450" t="inlineStr">
        <is>
          <t>Föryngringsavverkning</t>
        </is>
      </c>
      <c r="D450" s="1" t="n">
        <v>46119</v>
      </c>
      <c r="E450" s="1" t="n">
        <v>46320</v>
      </c>
      <c r="F450" t="inlineStr">
        <is>
          <t>VÄRMLANDS LÄN</t>
        </is>
      </c>
      <c r="G450" t="inlineStr">
        <is>
          <t>EDA</t>
        </is>
      </c>
      <c r="I450" t="n">
        <v>6.9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s="2" t="inlineStr"/>
    </row>
    <row r="451" ht="15" customHeight="1">
      <c r="A451" t="inlineStr">
        <is>
          <t>A 17308-2026</t>
        </is>
      </c>
      <c r="B451" t="inlineStr">
        <is>
          <t>avverkningsanmälan</t>
        </is>
      </c>
      <c r="C451" t="inlineStr">
        <is>
          <t>Föryngringsavverkning</t>
        </is>
      </c>
      <c r="D451" s="1" t="n">
        <v>46119</v>
      </c>
      <c r="E451" s="1" t="n">
        <v>46320</v>
      </c>
      <c r="F451" t="inlineStr">
        <is>
          <t>VÄRMLANDS LÄN</t>
        </is>
      </c>
      <c r="G451" t="inlineStr">
        <is>
          <t>EDA</t>
        </is>
      </c>
      <c r="I451" t="n">
        <v>0.9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s="2" t="inlineStr"/>
    </row>
    <row r="452" ht="15" customHeight="1">
      <c r="A452" t="inlineStr">
        <is>
          <t>A 17311-2026</t>
        </is>
      </c>
      <c r="B452" t="inlineStr">
        <is>
          <t>avverkningsanmälan</t>
        </is>
      </c>
      <c r="C452" t="inlineStr">
        <is>
          <t>Föryngringsavverkning</t>
        </is>
      </c>
      <c r="D452" s="1" t="n">
        <v>46119</v>
      </c>
      <c r="E452" s="1" t="n">
        <v>46320</v>
      </c>
      <c r="F452" t="inlineStr">
        <is>
          <t>VÄRMLANDS LÄN</t>
        </is>
      </c>
      <c r="G452" t="inlineStr">
        <is>
          <t>EDA</t>
        </is>
      </c>
      <c r="I452" t="n">
        <v>0.5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s="2" t="inlineStr"/>
    </row>
    <row r="453" ht="15" customHeight="1">
      <c r="A453" t="inlineStr">
        <is>
          <t>A 10701-2022</t>
        </is>
      </c>
      <c r="B453" t="inlineStr">
        <is>
          <t>avverkningsanmälan</t>
        </is>
      </c>
      <c r="C453" t="inlineStr">
        <is>
          <t>Föryngringsavverkning</t>
        </is>
      </c>
      <c r="D453" s="1" t="n">
        <v>44625</v>
      </c>
      <c r="E453" s="1" t="n">
        <v>46320</v>
      </c>
      <c r="F453" t="inlineStr">
        <is>
          <t>VÄRMLANDS LÄN</t>
        </is>
      </c>
      <c r="G453" t="inlineStr">
        <is>
          <t>EDA</t>
        </is>
      </c>
      <c r="I453" t="n">
        <v>0.3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s="2" t="inlineStr"/>
    </row>
    <row r="454" ht="15" customHeight="1">
      <c r="A454" t="inlineStr">
        <is>
          <t>A 36930-2025</t>
        </is>
      </c>
      <c r="B454" t="inlineStr">
        <is>
          <t>avverkningsanmälan</t>
        </is>
      </c>
      <c r="C454" t="inlineStr">
        <is>
          <t>Föryngringsavverkning</t>
        </is>
      </c>
      <c r="D454" s="1" t="n">
        <v>45874</v>
      </c>
      <c r="E454" s="1" t="n">
        <v>46320</v>
      </c>
      <c r="F454" t="inlineStr">
        <is>
          <t>VÄRMLANDS LÄN</t>
        </is>
      </c>
      <c r="G454" t="inlineStr">
        <is>
          <t>EDA</t>
        </is>
      </c>
      <c r="I454" t="n">
        <v>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s="2" t="inlineStr"/>
    </row>
    <row r="455" ht="15" customHeight="1">
      <c r="A455" t="inlineStr">
        <is>
          <t>A 17542-2026</t>
        </is>
      </c>
      <c r="B455" t="inlineStr">
        <is>
          <t>avverkningsanmälan</t>
        </is>
      </c>
      <c r="C455" t="inlineStr">
        <is>
          <t>Föryngringsavverkning</t>
        </is>
      </c>
      <c r="D455" s="1" t="n">
        <v>46120</v>
      </c>
      <c r="E455" s="1" t="n">
        <v>46320</v>
      </c>
      <c r="F455" t="inlineStr">
        <is>
          <t>VÄRMLANDS LÄN</t>
        </is>
      </c>
      <c r="G455" t="inlineStr">
        <is>
          <t>EDA</t>
        </is>
      </c>
      <c r="I455" t="n">
        <v>3.2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s="2" t="inlineStr"/>
    </row>
    <row r="456" ht="15" customHeight="1">
      <c r="A456" t="inlineStr">
        <is>
          <t>A 9319-2026</t>
        </is>
      </c>
      <c r="B456" t="inlineStr">
        <is>
          <t>avverkningsanmälan</t>
        </is>
      </c>
      <c r="C456" t="inlineStr">
        <is>
          <t>Föryngringsavverkning</t>
        </is>
      </c>
      <c r="D456" s="1" t="n">
        <v>46070</v>
      </c>
      <c r="E456" s="1" t="n">
        <v>46320</v>
      </c>
      <c r="F456" t="inlineStr">
        <is>
          <t>VÄRMLANDS LÄN</t>
        </is>
      </c>
      <c r="G456" t="inlineStr">
        <is>
          <t>EDA</t>
        </is>
      </c>
      <c r="I456" t="n">
        <v>1.6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s="2" t="inlineStr"/>
    </row>
    <row r="457" ht="15" customHeight="1">
      <c r="A457" t="inlineStr">
        <is>
          <t>A 9314-2026</t>
        </is>
      </c>
      <c r="B457" t="inlineStr">
        <is>
          <t>avverkningsanmälan</t>
        </is>
      </c>
      <c r="C457" t="inlineStr">
        <is>
          <t>Föryngringsavverkning</t>
        </is>
      </c>
      <c r="D457" s="1" t="n">
        <v>46070</v>
      </c>
      <c r="E457" s="1" t="n">
        <v>46320</v>
      </c>
      <c r="F457" t="inlineStr">
        <is>
          <t>VÄRMLANDS LÄN</t>
        </is>
      </c>
      <c r="G457" t="inlineStr">
        <is>
          <t>EDA</t>
        </is>
      </c>
      <c r="I457" t="n">
        <v>1.1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s="2" t="inlineStr"/>
    </row>
    <row r="458" ht="15" customHeight="1">
      <c r="A458" t="inlineStr">
        <is>
          <t>A 35350-2026</t>
        </is>
      </c>
      <c r="B458" t="inlineStr">
        <is>
          <t>avverkningsanmälan</t>
        </is>
      </c>
      <c r="C458" t="inlineStr">
        <is>
          <t>Föryngringsavverkning</t>
        </is>
      </c>
      <c r="D458" s="1" t="n">
        <v>46261</v>
      </c>
      <c r="E458" s="1" t="n">
        <v>46320</v>
      </c>
      <c r="F458" t="inlineStr">
        <is>
          <t>VÄRMLANDS LÄN</t>
        </is>
      </c>
      <c r="G458" t="inlineStr">
        <is>
          <t>EDA</t>
        </is>
      </c>
      <c r="H458" t="inlineStr">
        <is>
          <t>Bergvik skog väst AB</t>
        </is>
      </c>
      <c r="I458" t="n">
        <v>0.3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s="2" t="inlineStr"/>
    </row>
    <row r="459" ht="15" customHeight="1">
      <c r="A459" t="inlineStr">
        <is>
          <t>A 17992-2026</t>
        </is>
      </c>
      <c r="B459" t="inlineStr">
        <is>
          <t>avverkningsanmälan</t>
        </is>
      </c>
      <c r="C459" t="inlineStr">
        <is>
          <t>Föryngringsavverkning</t>
        </is>
      </c>
      <c r="D459" s="1" t="n">
        <v>46124</v>
      </c>
      <c r="E459" s="1" t="n">
        <v>46320</v>
      </c>
      <c r="F459" t="inlineStr">
        <is>
          <t>VÄRMLANDS LÄN</t>
        </is>
      </c>
      <c r="G459" t="inlineStr">
        <is>
          <t>EDA</t>
        </is>
      </c>
      <c r="I459" t="n">
        <v>1.6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s="2" t="inlineStr"/>
    </row>
    <row r="460" ht="15" customHeight="1">
      <c r="A460" t="inlineStr">
        <is>
          <t>A 17993-2026</t>
        </is>
      </c>
      <c r="B460" t="inlineStr">
        <is>
          <t>avverkningsanmälan</t>
        </is>
      </c>
      <c r="C460" t="inlineStr">
        <is>
          <t>Föryngringsavverkning</t>
        </is>
      </c>
      <c r="D460" s="1" t="n">
        <v>46124</v>
      </c>
      <c r="E460" s="1" t="n">
        <v>46320</v>
      </c>
      <c r="F460" t="inlineStr">
        <is>
          <t>VÄRMLANDS LÄN</t>
        </is>
      </c>
      <c r="G460" t="inlineStr">
        <is>
          <t>EDA</t>
        </is>
      </c>
      <c r="I460" t="n">
        <v>0.9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s="2" t="inlineStr"/>
    </row>
    <row r="461" ht="15" customHeight="1">
      <c r="A461" t="inlineStr">
        <is>
          <t>A 35384-2026</t>
        </is>
      </c>
      <c r="B461" t="inlineStr">
        <is>
          <t>avverkningsanmälan</t>
        </is>
      </c>
      <c r="C461" t="inlineStr">
        <is>
          <t>Föryngringsavverkning</t>
        </is>
      </c>
      <c r="D461" s="1" t="n">
        <v>46261</v>
      </c>
      <c r="E461" s="1" t="n">
        <v>46320</v>
      </c>
      <c r="F461" t="inlineStr">
        <is>
          <t>VÄRMLANDS LÄN</t>
        </is>
      </c>
      <c r="G461" t="inlineStr">
        <is>
          <t>EDA</t>
        </is>
      </c>
      <c r="H461" t="inlineStr">
        <is>
          <t>Övriga Aktiebolag</t>
        </is>
      </c>
      <c r="I461" t="n">
        <v>1.5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s="2" t="inlineStr"/>
    </row>
    <row r="462" ht="15" customHeight="1">
      <c r="A462" t="inlineStr">
        <is>
          <t>A 18470-2026</t>
        </is>
      </c>
      <c r="B462" t="inlineStr">
        <is>
          <t>avverkningsanmälan</t>
        </is>
      </c>
      <c r="C462" t="inlineStr">
        <is>
          <t>Föryngringsavverkning</t>
        </is>
      </c>
      <c r="D462" s="1" t="n">
        <v>46127</v>
      </c>
      <c r="E462" s="1" t="n">
        <v>46320</v>
      </c>
      <c r="F462" t="inlineStr">
        <is>
          <t>VÄRMLANDS LÄN</t>
        </is>
      </c>
      <c r="G462" t="inlineStr">
        <is>
          <t>EDA</t>
        </is>
      </c>
      <c r="I462" t="n">
        <v>4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s="2" t="inlineStr"/>
    </row>
    <row r="463" ht="15" customHeight="1">
      <c r="A463" t="inlineStr">
        <is>
          <t>A 17742-2025</t>
        </is>
      </c>
      <c r="B463" t="inlineStr">
        <is>
          <t>avverkningsanmälan</t>
        </is>
      </c>
      <c r="C463" t="inlineStr">
        <is>
          <t>Föryngringsavverkning</t>
        </is>
      </c>
      <c r="D463" s="1" t="n">
        <v>45758</v>
      </c>
      <c r="E463" s="1" t="n">
        <v>46320</v>
      </c>
      <c r="F463" t="inlineStr">
        <is>
          <t>VÄRMLANDS LÄN</t>
        </is>
      </c>
      <c r="G463" t="inlineStr">
        <is>
          <t>EDA</t>
        </is>
      </c>
      <c r="I463" t="n">
        <v>0.5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s="2" t="inlineStr"/>
    </row>
    <row r="464" ht="15" customHeight="1">
      <c r="A464" t="inlineStr">
        <is>
          <t>A 38013-2025</t>
        </is>
      </c>
      <c r="B464" t="inlineStr">
        <is>
          <t>avverkningsanmälan</t>
        </is>
      </c>
      <c r="C464" t="inlineStr">
        <is>
          <t>Föryngringsavverkning</t>
        </is>
      </c>
      <c r="D464" s="1" t="n">
        <v>45882</v>
      </c>
      <c r="E464" s="1" t="n">
        <v>46320</v>
      </c>
      <c r="F464" t="inlineStr">
        <is>
          <t>VÄRMLANDS LÄN</t>
        </is>
      </c>
      <c r="G464" t="inlineStr">
        <is>
          <t>EDA</t>
        </is>
      </c>
      <c r="I464" t="n">
        <v>0.6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s="2" t="inlineStr"/>
    </row>
    <row r="465" ht="15" customHeight="1">
      <c r="A465" t="inlineStr">
        <is>
          <t>A 38014-2025</t>
        </is>
      </c>
      <c r="B465" t="inlineStr">
        <is>
          <t>avverkningsanmälan</t>
        </is>
      </c>
      <c r="C465" t="inlineStr">
        <is>
          <t>Föryngringsavverkning</t>
        </is>
      </c>
      <c r="D465" s="1" t="n">
        <v>45882</v>
      </c>
      <c r="E465" s="1" t="n">
        <v>46320</v>
      </c>
      <c r="F465" t="inlineStr">
        <is>
          <t>VÄRMLANDS LÄN</t>
        </is>
      </c>
      <c r="G465" t="inlineStr">
        <is>
          <t>EDA</t>
        </is>
      </c>
      <c r="I465" t="n">
        <v>0.7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s="2" t="inlineStr"/>
    </row>
    <row r="466" ht="15" customHeight="1">
      <c r="A466" t="inlineStr">
        <is>
          <t>A 35439-2026</t>
        </is>
      </c>
      <c r="B466" t="inlineStr">
        <is>
          <t>avverkningsanmälan</t>
        </is>
      </c>
      <c r="C466" t="inlineStr">
        <is>
          <t>Föryngringsavverkning</t>
        </is>
      </c>
      <c r="D466" s="1" t="n">
        <v>46262</v>
      </c>
      <c r="E466" s="1" t="n">
        <v>46320</v>
      </c>
      <c r="F466" t="inlineStr">
        <is>
          <t>VÄRMLANDS LÄN</t>
        </is>
      </c>
      <c r="G466" t="inlineStr">
        <is>
          <t>EDA</t>
        </is>
      </c>
      <c r="H466" t="inlineStr">
        <is>
          <t>Bergvik skog väst AB</t>
        </is>
      </c>
      <c r="I466" t="n">
        <v>1.1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s="2" t="inlineStr"/>
    </row>
    <row r="467" ht="15" customHeight="1">
      <c r="A467" t="inlineStr">
        <is>
          <t>A 60440-2022</t>
        </is>
      </c>
      <c r="B467" t="inlineStr">
        <is>
          <t>avverkningsanmälan</t>
        </is>
      </c>
      <c r="C467" t="inlineStr">
        <is>
          <t>Föryngringsavverkning</t>
        </is>
      </c>
      <c r="D467" s="1" t="n">
        <v>44911</v>
      </c>
      <c r="E467" s="1" t="n">
        <v>46320</v>
      </c>
      <c r="F467" t="inlineStr">
        <is>
          <t>VÄRMLANDS LÄN</t>
        </is>
      </c>
      <c r="G467" t="inlineStr">
        <is>
          <t>EDA</t>
        </is>
      </c>
      <c r="I467" t="n">
        <v>2.6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s="2" t="inlineStr"/>
    </row>
    <row r="468" ht="15" customHeight="1">
      <c r="A468" t="inlineStr">
        <is>
          <t>A 42484-2026</t>
        </is>
      </c>
      <c r="B468" t="inlineStr">
        <is>
          <t>avverkningsanmälan</t>
        </is>
      </c>
      <c r="C468" t="inlineStr">
        <is>
          <t>Föryngringsavverkning</t>
        </is>
      </c>
      <c r="D468" s="1" t="n">
        <v>46308</v>
      </c>
      <c r="E468" s="1" t="n">
        <v>46320</v>
      </c>
      <c r="F468" t="inlineStr">
        <is>
          <t>VÄRMLANDS LÄN</t>
        </is>
      </c>
      <c r="G468" t="inlineStr">
        <is>
          <t>EDA</t>
        </is>
      </c>
      <c r="I468" t="n">
        <v>0.5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s="2" t="inlineStr"/>
    </row>
    <row r="469" ht="15" customHeight="1">
      <c r="A469" t="inlineStr">
        <is>
          <t>A 9221-2025</t>
        </is>
      </c>
      <c r="B469" t="inlineStr">
        <is>
          <t>avverkningsanmälan</t>
        </is>
      </c>
      <c r="C469" t="inlineStr">
        <is>
          <t>Avverkning för annat ändamål</t>
        </is>
      </c>
      <c r="D469" s="1" t="n">
        <v>45714</v>
      </c>
      <c r="E469" s="1" t="n">
        <v>46320</v>
      </c>
      <c r="F469" t="inlineStr">
        <is>
          <t>VÄRMLANDS LÄN</t>
        </is>
      </c>
      <c r="G469" t="inlineStr">
        <is>
          <t>EDA</t>
        </is>
      </c>
      <c r="I469" t="n">
        <v>0.7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s="2" t="inlineStr"/>
    </row>
    <row r="470" ht="15" customHeight="1">
      <c r="A470" t="inlineStr">
        <is>
          <t>A 41245-2026</t>
        </is>
      </c>
      <c r="B470" t="inlineStr">
        <is>
          <t>avverkningsanmälan</t>
        </is>
      </c>
      <c r="C470" t="inlineStr">
        <is>
          <t>Föryngringsavverkning</t>
        </is>
      </c>
      <c r="D470" s="1" t="n">
        <v>46300</v>
      </c>
      <c r="E470" s="1" t="n">
        <v>46320</v>
      </c>
      <c r="F470" t="inlineStr">
        <is>
          <t>VÄRMLANDS LÄN</t>
        </is>
      </c>
      <c r="G470" t="inlineStr">
        <is>
          <t>EDA</t>
        </is>
      </c>
      <c r="I470" t="n">
        <v>3.5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s="2" t="inlineStr"/>
    </row>
    <row r="471" ht="15" customHeight="1">
      <c r="A471" t="inlineStr">
        <is>
          <t>A 1156-2026</t>
        </is>
      </c>
      <c r="B471" t="inlineStr">
        <is>
          <t>avverkningsanmälan</t>
        </is>
      </c>
      <c r="C471" t="inlineStr">
        <is>
          <t>Föryngringsavverkning</t>
        </is>
      </c>
      <c r="D471" s="1" t="n">
        <v>46031</v>
      </c>
      <c r="E471" s="1" t="n">
        <v>46320</v>
      </c>
      <c r="F471" t="inlineStr">
        <is>
          <t>VÄRMLANDS LÄN</t>
        </is>
      </c>
      <c r="G471" t="inlineStr">
        <is>
          <t>EDA</t>
        </is>
      </c>
      <c r="I471" t="n">
        <v>0.9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s="2" t="inlineStr"/>
    </row>
    <row r="472" ht="15" customHeight="1">
      <c r="A472" t="inlineStr">
        <is>
          <t>A 19721-2026</t>
        </is>
      </c>
      <c r="B472" t="inlineStr">
        <is>
          <t>avverkningsanmälan</t>
        </is>
      </c>
      <c r="C472" t="inlineStr">
        <is>
          <t>Föryngringsavverkning</t>
        </is>
      </c>
      <c r="D472" s="1" t="n">
        <v>46135</v>
      </c>
      <c r="E472" s="1" t="n">
        <v>46320</v>
      </c>
      <c r="F472" t="inlineStr">
        <is>
          <t>VÄRMLANDS LÄN</t>
        </is>
      </c>
      <c r="G472" t="inlineStr">
        <is>
          <t>EDA</t>
        </is>
      </c>
      <c r="I472" t="n">
        <v>1.4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s="2" t="inlineStr"/>
    </row>
    <row r="473" ht="15" customHeight="1">
      <c r="A473" t="inlineStr">
        <is>
          <t>A 34122-2023</t>
        </is>
      </c>
      <c r="B473" t="inlineStr">
        <is>
          <t>avverkningsanmälan</t>
        </is>
      </c>
      <c r="C473" t="inlineStr">
        <is>
          <t>Föryngringsavverkning</t>
        </is>
      </c>
      <c r="D473" s="1" t="n">
        <v>45135</v>
      </c>
      <c r="E473" s="1" t="n">
        <v>46320</v>
      </c>
      <c r="F473" t="inlineStr">
        <is>
          <t>VÄRMLANDS LÄN</t>
        </is>
      </c>
      <c r="G473" t="inlineStr">
        <is>
          <t>EDA</t>
        </is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s="2" t="inlineStr"/>
    </row>
    <row r="474" ht="15" customHeight="1">
      <c r="A474" t="inlineStr">
        <is>
          <t>A 22083-2024</t>
        </is>
      </c>
      <c r="B474" t="inlineStr">
        <is>
          <t>avverkningsanmälan</t>
        </is>
      </c>
      <c r="C474" t="inlineStr">
        <is>
          <t>Föryngringsavverkning</t>
        </is>
      </c>
      <c r="D474" s="1" t="n">
        <v>45443</v>
      </c>
      <c r="E474" s="1" t="n">
        <v>46320</v>
      </c>
      <c r="F474" t="inlineStr">
        <is>
          <t>VÄRMLANDS LÄN</t>
        </is>
      </c>
      <c r="G474" t="inlineStr">
        <is>
          <t>EDA</t>
        </is>
      </c>
      <c r="I474" t="n">
        <v>2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s="2" t="inlineStr"/>
    </row>
    <row r="475" ht="15" customHeight="1">
      <c r="A475" t="inlineStr">
        <is>
          <t>A 8586-2024</t>
        </is>
      </c>
      <c r="B475" t="inlineStr">
        <is>
          <t>avverkningsanmälan</t>
        </is>
      </c>
      <c r="C475" t="inlineStr">
        <is>
          <t>Föryngringsavverkning</t>
        </is>
      </c>
      <c r="D475" s="1" t="n">
        <v>45355</v>
      </c>
      <c r="E475" s="1" t="n">
        <v>46320</v>
      </c>
      <c r="F475" t="inlineStr">
        <is>
          <t>VÄRMLANDS LÄN</t>
        </is>
      </c>
      <c r="G475" t="inlineStr">
        <is>
          <t>EDA</t>
        </is>
      </c>
      <c r="I475" t="n">
        <v>3.5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s="2" t="inlineStr"/>
    </row>
    <row r="476" ht="15" customHeight="1">
      <c r="A476" t="inlineStr">
        <is>
          <t>A 21267-2026</t>
        </is>
      </c>
      <c r="B476" t="inlineStr">
        <is>
          <t>avverkningsanmälan</t>
        </is>
      </c>
      <c r="C476" t="inlineStr">
        <is>
          <t>Föryngringsavverkning</t>
        </is>
      </c>
      <c r="D476" s="1" t="n">
        <v>46147</v>
      </c>
      <c r="E476" s="1" t="n">
        <v>46320</v>
      </c>
      <c r="F476" t="inlineStr">
        <is>
          <t>VÄRMLANDS LÄN</t>
        </is>
      </c>
      <c r="G476" t="inlineStr">
        <is>
          <t>EDA</t>
        </is>
      </c>
      <c r="I476" t="n">
        <v>2.1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s="2" t="inlineStr"/>
    </row>
    <row r="477" ht="15" customHeight="1">
      <c r="A477" t="inlineStr">
        <is>
          <t>A 19876-2026</t>
        </is>
      </c>
      <c r="B477" t="inlineStr">
        <is>
          <t>avverkningsanmälan</t>
        </is>
      </c>
      <c r="C477" t="inlineStr">
        <is>
          <t>Föryngringsavverkning</t>
        </is>
      </c>
      <c r="D477" s="1" t="n">
        <v>46135</v>
      </c>
      <c r="E477" s="1" t="n">
        <v>46320</v>
      </c>
      <c r="F477" t="inlineStr">
        <is>
          <t>VÄRMLANDS LÄN</t>
        </is>
      </c>
      <c r="G477" t="inlineStr">
        <is>
          <t>EDA</t>
        </is>
      </c>
      <c r="I477" t="n">
        <v>0.3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s="2" t="inlineStr"/>
    </row>
    <row r="478" ht="15" customHeight="1">
      <c r="A478" t="inlineStr">
        <is>
          <t>A 35878-2026</t>
        </is>
      </c>
      <c r="B478" t="inlineStr">
        <is>
          <t>avverkningsanmälan</t>
        </is>
      </c>
      <c r="C478" t="inlineStr">
        <is>
          <t>Föryngringsavverkning</t>
        </is>
      </c>
      <c r="D478" s="1" t="n">
        <v>46266</v>
      </c>
      <c r="E478" s="1" t="n">
        <v>46320</v>
      </c>
      <c r="F478" t="inlineStr">
        <is>
          <t>VÄRMLANDS LÄN</t>
        </is>
      </c>
      <c r="G478" t="inlineStr">
        <is>
          <t>EDA</t>
        </is>
      </c>
      <c r="I478" t="n">
        <v>2.7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s="2" t="inlineStr"/>
    </row>
    <row r="479" ht="15" customHeight="1">
      <c r="A479" t="inlineStr">
        <is>
          <t>A 9160-2024</t>
        </is>
      </c>
      <c r="B479" t="inlineStr">
        <is>
          <t>avverkningsanmälan</t>
        </is>
      </c>
      <c r="C479" t="inlineStr">
        <is>
          <t>Föryngringsavverkning</t>
        </is>
      </c>
      <c r="D479" s="1" t="n">
        <v>45358</v>
      </c>
      <c r="E479" s="1" t="n">
        <v>46320</v>
      </c>
      <c r="F479" t="inlineStr">
        <is>
          <t>VÄRMLANDS LÄN</t>
        </is>
      </c>
      <c r="G479" t="inlineStr">
        <is>
          <t>EDA</t>
        </is>
      </c>
      <c r="I479" t="n">
        <v>0.7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s="2" t="inlineStr"/>
    </row>
    <row r="480" ht="15" customHeight="1">
      <c r="A480" t="inlineStr">
        <is>
          <t>A 41031-2024</t>
        </is>
      </c>
      <c r="B480" t="inlineStr">
        <is>
          <t>avverkningsanmälan</t>
        </is>
      </c>
      <c r="C480" t="inlineStr">
        <is>
          <t>Föryngringsavverkning</t>
        </is>
      </c>
      <c r="D480" s="1" t="n">
        <v>45559</v>
      </c>
      <c r="E480" s="1" t="n">
        <v>46320</v>
      </c>
      <c r="F480" t="inlineStr">
        <is>
          <t>VÄRMLANDS LÄN</t>
        </is>
      </c>
      <c r="G480" t="inlineStr">
        <is>
          <t>EDA</t>
        </is>
      </c>
      <c r="I480" t="n">
        <v>1.4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s="2" t="inlineStr"/>
    </row>
    <row r="481" ht="15" customHeight="1">
      <c r="A481" t="inlineStr">
        <is>
          <t>A 19722-2026</t>
        </is>
      </c>
      <c r="B481" t="inlineStr">
        <is>
          <t>avverkningsanmälan</t>
        </is>
      </c>
      <c r="C481" t="inlineStr">
        <is>
          <t>Föryngringsavverkning</t>
        </is>
      </c>
      <c r="D481" s="1" t="n">
        <v>46135</v>
      </c>
      <c r="E481" s="1" t="n">
        <v>46320</v>
      </c>
      <c r="F481" t="inlineStr">
        <is>
          <t>VÄRMLANDS LÄN</t>
        </is>
      </c>
      <c r="G481" t="inlineStr">
        <is>
          <t>EDA</t>
        </is>
      </c>
      <c r="I481" t="n">
        <v>0.8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s="2" t="inlineStr"/>
    </row>
    <row r="482" ht="15" customHeight="1">
      <c r="A482" t="inlineStr">
        <is>
          <t>A 42634-2026</t>
        </is>
      </c>
      <c r="B482" t="inlineStr">
        <is>
          <t>avverkningsanmälan</t>
        </is>
      </c>
      <c r="C482" t="inlineStr">
        <is>
          <t>Föryngringsavverkning</t>
        </is>
      </c>
      <c r="D482" s="1" t="n">
        <v>46309</v>
      </c>
      <c r="E482" s="1" t="n">
        <v>46320</v>
      </c>
      <c r="F482" t="inlineStr">
        <is>
          <t>VÄRMLANDS LÄN</t>
        </is>
      </c>
      <c r="G482" t="inlineStr">
        <is>
          <t>EDA</t>
        </is>
      </c>
      <c r="I482" t="n">
        <v>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s="2" t="inlineStr"/>
    </row>
    <row r="483" ht="15" customHeight="1">
      <c r="A483" t="inlineStr">
        <is>
          <t>A 35874-2026</t>
        </is>
      </c>
      <c r="B483" t="inlineStr">
        <is>
          <t>avverkningsanmälan</t>
        </is>
      </c>
      <c r="C483" t="inlineStr">
        <is>
          <t>Föryngringsavverkning</t>
        </is>
      </c>
      <c r="D483" s="1" t="n">
        <v>46266</v>
      </c>
      <c r="E483" s="1" t="n">
        <v>46320</v>
      </c>
      <c r="F483" t="inlineStr">
        <is>
          <t>VÄRMLANDS LÄN</t>
        </is>
      </c>
      <c r="G483" t="inlineStr">
        <is>
          <t>EDA</t>
        </is>
      </c>
      <c r="I483" t="n">
        <v>2.6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s="2" t="inlineStr"/>
    </row>
    <row r="484" ht="15" customHeight="1">
      <c r="A484" t="inlineStr">
        <is>
          <t>A 15891-2025</t>
        </is>
      </c>
      <c r="B484" t="inlineStr">
        <is>
          <t>avverkningsanmälan</t>
        </is>
      </c>
      <c r="C484" t="inlineStr">
        <is>
          <t>Föryngringsavverkning</t>
        </is>
      </c>
      <c r="D484" s="1" t="n">
        <v>45749</v>
      </c>
      <c r="E484" s="1" t="n">
        <v>46320</v>
      </c>
      <c r="F484" t="inlineStr">
        <is>
          <t>VÄRMLANDS LÄN</t>
        </is>
      </c>
      <c r="G484" t="inlineStr">
        <is>
          <t>EDA</t>
        </is>
      </c>
      <c r="I484" t="n">
        <v>2.6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s="2" t="inlineStr"/>
    </row>
    <row r="485" ht="15" customHeight="1">
      <c r="A485" t="inlineStr">
        <is>
          <t>A 35583-2025</t>
        </is>
      </c>
      <c r="B485" t="inlineStr">
        <is>
          <t>avverkningsanmälan</t>
        </is>
      </c>
      <c r="C485" t="inlineStr">
        <is>
          <t>Föryngringsavverkning</t>
        </is>
      </c>
      <c r="D485" s="1" t="n">
        <v>45856</v>
      </c>
      <c r="E485" s="1" t="n">
        <v>46320</v>
      </c>
      <c r="F485" t="inlineStr">
        <is>
          <t>VÄRMLANDS LÄN</t>
        </is>
      </c>
      <c r="G485" t="inlineStr">
        <is>
          <t>EDA</t>
        </is>
      </c>
      <c r="I485" t="n">
        <v>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s="2" t="inlineStr"/>
    </row>
    <row r="486" ht="15" customHeight="1">
      <c r="A486" t="inlineStr">
        <is>
          <t>A 35584-2025</t>
        </is>
      </c>
      <c r="B486" t="inlineStr">
        <is>
          <t>avverkningsanmälan</t>
        </is>
      </c>
      <c r="C486" t="inlineStr">
        <is>
          <t>Föryngringsavverkning</t>
        </is>
      </c>
      <c r="D486" s="1" t="n">
        <v>45856</v>
      </c>
      <c r="E486" s="1" t="n">
        <v>46320</v>
      </c>
      <c r="F486" t="inlineStr">
        <is>
          <t>VÄRMLANDS LÄN</t>
        </is>
      </c>
      <c r="G486" t="inlineStr">
        <is>
          <t>EDA</t>
        </is>
      </c>
      <c r="I486" t="n">
        <v>2.9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s="2" t="inlineStr"/>
    </row>
    <row r="487" ht="15" customHeight="1">
      <c r="A487" t="inlineStr">
        <is>
          <t>A 36066-2026</t>
        </is>
      </c>
      <c r="B487" t="inlineStr">
        <is>
          <t>avverkningsanmälan</t>
        </is>
      </c>
      <c r="C487" t="inlineStr">
        <is>
          <t>Föryngringsavverkning</t>
        </is>
      </c>
      <c r="D487" s="1" t="n">
        <v>46267</v>
      </c>
      <c r="E487" s="1" t="n">
        <v>46320</v>
      </c>
      <c r="F487" t="inlineStr">
        <is>
          <t>VÄRMLANDS LÄN</t>
        </is>
      </c>
      <c r="G487" t="inlineStr">
        <is>
          <t>EDA</t>
        </is>
      </c>
      <c r="I487" t="n">
        <v>1.9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s="2" t="inlineStr"/>
    </row>
    <row r="488" ht="15" customHeight="1">
      <c r="A488" t="inlineStr">
        <is>
          <t>A 20471-2024</t>
        </is>
      </c>
      <c r="B488" t="inlineStr">
        <is>
          <t>avverkningsanmälan</t>
        </is>
      </c>
      <c r="C488" t="inlineStr">
        <is>
          <t>Föryngringsavverkning</t>
        </is>
      </c>
      <c r="D488" s="1" t="n">
        <v>45435</v>
      </c>
      <c r="E488" s="1" t="n">
        <v>46320</v>
      </c>
      <c r="F488" t="inlineStr">
        <is>
          <t>VÄRMLANDS LÄN</t>
        </is>
      </c>
      <c r="G488" t="inlineStr">
        <is>
          <t>EDA</t>
        </is>
      </c>
      <c r="I488" t="n">
        <v>2.2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s="2" t="inlineStr"/>
    </row>
    <row r="489" ht="15" customHeight="1">
      <c r="A489" t="inlineStr">
        <is>
          <t>A 42865-2026</t>
        </is>
      </c>
      <c r="B489" t="inlineStr">
        <is>
          <t>avverkningsanmälan</t>
        </is>
      </c>
      <c r="C489" t="inlineStr">
        <is>
          <t>Föryngringsavverkning</t>
        </is>
      </c>
      <c r="D489" s="1" t="n">
        <v>46310</v>
      </c>
      <c r="E489" s="1" t="n">
        <v>46320</v>
      </c>
      <c r="F489" t="inlineStr">
        <is>
          <t>VÄRMLANDS LÄN</t>
        </is>
      </c>
      <c r="G489" t="inlineStr">
        <is>
          <t>EDA</t>
        </is>
      </c>
      <c r="H489" t="inlineStr">
        <is>
          <t>Bergvik skog väst AB</t>
        </is>
      </c>
      <c r="I489" t="n">
        <v>14.1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s="2" t="inlineStr"/>
    </row>
    <row r="490" ht="15" customHeight="1">
      <c r="A490" t="inlineStr">
        <is>
          <t>A 5044-2025</t>
        </is>
      </c>
      <c r="B490" t="inlineStr">
        <is>
          <t>avverkningsanmälan</t>
        </is>
      </c>
      <c r="C490" t="inlineStr">
        <is>
          <t>Föryngringsavverkning</t>
        </is>
      </c>
      <c r="D490" s="1" t="n">
        <v>45691</v>
      </c>
      <c r="E490" s="1" t="n">
        <v>46320</v>
      </c>
      <c r="F490" t="inlineStr">
        <is>
          <t>VÄRMLANDS LÄN</t>
        </is>
      </c>
      <c r="G490" t="inlineStr">
        <is>
          <t>EDA</t>
        </is>
      </c>
      <c r="I490" t="n">
        <v>1.4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s="2" t="inlineStr"/>
    </row>
    <row r="491" ht="15" customHeight="1">
      <c r="A491" t="inlineStr">
        <is>
          <t>A 51033-2024</t>
        </is>
      </c>
      <c r="B491" t="inlineStr">
        <is>
          <t>avverkningsanmälan</t>
        </is>
      </c>
      <c r="C491" t="inlineStr">
        <is>
          <t>Föryngringsavverkning</t>
        </is>
      </c>
      <c r="D491" s="1" t="n">
        <v>45603</v>
      </c>
      <c r="E491" s="1" t="n">
        <v>46320</v>
      </c>
      <c r="F491" t="inlineStr">
        <is>
          <t>VÄRMLANDS LÄN</t>
        </is>
      </c>
      <c r="G491" t="inlineStr">
        <is>
          <t>EDA</t>
        </is>
      </c>
      <c r="I491" t="n">
        <v>1.2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s="2" t="inlineStr"/>
    </row>
    <row r="492" ht="15" customHeight="1">
      <c r="A492" t="inlineStr">
        <is>
          <t>A 50106-2022</t>
        </is>
      </c>
      <c r="B492" t="inlineStr">
        <is>
          <t>avverkningsanmälan</t>
        </is>
      </c>
      <c r="C492" t="inlineStr">
        <is>
          <t>Föryngringsavverkning</t>
        </is>
      </c>
      <c r="D492" s="1" t="n">
        <v>44865</v>
      </c>
      <c r="E492" s="1" t="n">
        <v>46320</v>
      </c>
      <c r="F492" t="inlineStr">
        <is>
          <t>VÄRMLANDS LÄN</t>
        </is>
      </c>
      <c r="G492" t="inlineStr">
        <is>
          <t>EDA</t>
        </is>
      </c>
      <c r="I492" t="n">
        <v>2.6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s="2" t="inlineStr"/>
    </row>
    <row r="493" ht="15" customHeight="1">
      <c r="A493" t="inlineStr">
        <is>
          <t>A 43974-2025</t>
        </is>
      </c>
      <c r="B493" t="inlineStr">
        <is>
          <t>avverkningsanmälan</t>
        </is>
      </c>
      <c r="C493" t="inlineStr">
        <is>
          <t>Föryngringsavverkning</t>
        </is>
      </c>
      <c r="D493" s="1" t="n">
        <v>45915</v>
      </c>
      <c r="E493" s="1" t="n">
        <v>46320</v>
      </c>
      <c r="F493" t="inlineStr">
        <is>
          <t>VÄRMLANDS LÄN</t>
        </is>
      </c>
      <c r="G493" t="inlineStr">
        <is>
          <t>EDA</t>
        </is>
      </c>
      <c r="I493" t="n">
        <v>2.3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s="2" t="inlineStr"/>
    </row>
    <row r="494" ht="15" customHeight="1">
      <c r="A494" t="inlineStr">
        <is>
          <t>A 36482-2026</t>
        </is>
      </c>
      <c r="B494" t="inlineStr">
        <is>
          <t>avverkningsanmälan</t>
        </is>
      </c>
      <c r="C494" t="inlineStr">
        <is>
          <t>Föryngringsavverkning</t>
        </is>
      </c>
      <c r="D494" s="1" t="n">
        <v>46269</v>
      </c>
      <c r="E494" s="1" t="n">
        <v>46320</v>
      </c>
      <c r="F494" t="inlineStr">
        <is>
          <t>VÄRMLANDS LÄN</t>
        </is>
      </c>
      <c r="G494" t="inlineStr">
        <is>
          <t>EDA</t>
        </is>
      </c>
      <c r="I494" t="n">
        <v>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s="2" t="inlineStr"/>
    </row>
    <row r="495" ht="15" customHeight="1">
      <c r="A495" t="inlineStr">
        <is>
          <t>A 20552-2026</t>
        </is>
      </c>
      <c r="B495" t="inlineStr">
        <is>
          <t>avverkningsanmälan</t>
        </is>
      </c>
      <c r="C495" t="inlineStr">
        <is>
          <t>Föryngringsavverkning</t>
        </is>
      </c>
      <c r="D495" s="1" t="n">
        <v>46140</v>
      </c>
      <c r="E495" s="1" t="n">
        <v>46320</v>
      </c>
      <c r="F495" t="inlineStr">
        <is>
          <t>VÄRMLANDS LÄN</t>
        </is>
      </c>
      <c r="G495" t="inlineStr">
        <is>
          <t>EDA</t>
        </is>
      </c>
      <c r="H495" t="inlineStr">
        <is>
          <t>Bergvik skog väst AB</t>
        </is>
      </c>
      <c r="I495" t="n">
        <v>7.2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s="2" t="inlineStr"/>
    </row>
    <row r="496" ht="15" customHeight="1">
      <c r="A496" t="inlineStr">
        <is>
          <t>A 54185-2022</t>
        </is>
      </c>
      <c r="B496" t="inlineStr">
        <is>
          <t>avverkningsanmälan</t>
        </is>
      </c>
      <c r="C496" t="inlineStr">
        <is>
          <t>Föryngringsavverkning</t>
        </is>
      </c>
      <c r="D496" s="1" t="n">
        <v>44881</v>
      </c>
      <c r="E496" s="1" t="n">
        <v>46320</v>
      </c>
      <c r="F496" t="inlineStr">
        <is>
          <t>VÄRMLANDS LÄN</t>
        </is>
      </c>
      <c r="G496" t="inlineStr">
        <is>
          <t>EDA</t>
        </is>
      </c>
      <c r="H496" t="inlineStr">
        <is>
          <t>Övriga Aktiebolag</t>
        </is>
      </c>
      <c r="I496" t="n">
        <v>1.7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s="2" t="inlineStr"/>
    </row>
    <row r="497" ht="15" customHeight="1">
      <c r="A497" t="inlineStr">
        <is>
          <t>A 20560-2026</t>
        </is>
      </c>
      <c r="B497" t="inlineStr">
        <is>
          <t>avverkningsanmälan</t>
        </is>
      </c>
      <c r="C497" t="inlineStr">
        <is>
          <t>Föryngringsavverkning</t>
        </is>
      </c>
      <c r="D497" s="1" t="n">
        <v>46140</v>
      </c>
      <c r="E497" s="1" t="n">
        <v>46320</v>
      </c>
      <c r="F497" t="inlineStr">
        <is>
          <t>VÄRMLANDS LÄN</t>
        </is>
      </c>
      <c r="G497" t="inlineStr">
        <is>
          <t>EDA</t>
        </is>
      </c>
      <c r="H497" t="inlineStr">
        <is>
          <t>Bergvik skog väst AB</t>
        </is>
      </c>
      <c r="I497" t="n">
        <v>2.9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s="2" t="inlineStr"/>
    </row>
    <row r="498" ht="15" customHeight="1">
      <c r="A498" t="inlineStr">
        <is>
          <t>A 37298-2023</t>
        </is>
      </c>
      <c r="B498" t="inlineStr">
        <is>
          <t>avverkningsanmälan</t>
        </is>
      </c>
      <c r="C498" t="inlineStr">
        <is>
          <t>Föryngringsavverkning</t>
        </is>
      </c>
      <c r="D498" s="1" t="n">
        <v>45156</v>
      </c>
      <c r="E498" s="1" t="n">
        <v>46320</v>
      </c>
      <c r="F498" t="inlineStr">
        <is>
          <t>VÄRMLANDS LÄN</t>
        </is>
      </c>
      <c r="G498" t="inlineStr">
        <is>
          <t>EDA</t>
        </is>
      </c>
      <c r="I498" t="n">
        <v>1.4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s="2" t="inlineStr"/>
    </row>
    <row r="499" ht="15" customHeight="1">
      <c r="A499" t="inlineStr">
        <is>
          <t>A 1893-2025</t>
        </is>
      </c>
      <c r="B499" t="inlineStr">
        <is>
          <t>avverkningsanmälan</t>
        </is>
      </c>
      <c r="C499" t="inlineStr">
        <is>
          <t>Föryngringsavverkning</t>
        </is>
      </c>
      <c r="D499" s="1" t="n">
        <v>45671</v>
      </c>
      <c r="E499" s="1" t="n">
        <v>46320</v>
      </c>
      <c r="F499" t="inlineStr">
        <is>
          <t>VÄRMLANDS LÄN</t>
        </is>
      </c>
      <c r="G499" t="inlineStr">
        <is>
          <t>EDA</t>
        </is>
      </c>
      <c r="I499" t="n">
        <v>2.7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s="2" t="inlineStr"/>
    </row>
    <row r="500" ht="15" customHeight="1">
      <c r="A500" t="inlineStr">
        <is>
          <t>A 16328-2023</t>
        </is>
      </c>
      <c r="B500" t="inlineStr">
        <is>
          <t>avverkningsanmälan</t>
        </is>
      </c>
      <c r="C500" t="inlineStr">
        <is>
          <t>Föryngringsavverkning</t>
        </is>
      </c>
      <c r="D500" s="1" t="n">
        <v>45028</v>
      </c>
      <c r="E500" s="1" t="n">
        <v>46320</v>
      </c>
      <c r="F500" t="inlineStr">
        <is>
          <t>VÄRMLANDS LÄN</t>
        </is>
      </c>
      <c r="G500" t="inlineStr">
        <is>
          <t>EDA</t>
        </is>
      </c>
      <c r="I500" t="n">
        <v>0.8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s="2" t="inlineStr"/>
    </row>
    <row r="501" ht="15" customHeight="1">
      <c r="A501" t="inlineStr">
        <is>
          <t>A 26004-2025</t>
        </is>
      </c>
      <c r="B501" t="inlineStr">
        <is>
          <t>avverkningsanmälan</t>
        </is>
      </c>
      <c r="C501" t="inlineStr">
        <is>
          <t>Föryngringsavverkning</t>
        </is>
      </c>
      <c r="D501" s="1" t="n">
        <v>45804</v>
      </c>
      <c r="E501" s="1" t="n">
        <v>46320</v>
      </c>
      <c r="F501" t="inlineStr">
        <is>
          <t>VÄRMLANDS LÄN</t>
        </is>
      </c>
      <c r="G501" t="inlineStr">
        <is>
          <t>EDA</t>
        </is>
      </c>
      <c r="I501" t="n">
        <v>1.3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s="2" t="inlineStr"/>
    </row>
    <row r="502" ht="15" customHeight="1">
      <c r="A502" t="inlineStr">
        <is>
          <t>A 5081-2025</t>
        </is>
      </c>
      <c r="B502" t="inlineStr">
        <is>
          <t>avverkningsanmälan</t>
        </is>
      </c>
      <c r="C502" t="inlineStr">
        <is>
          <t>Föryngringsavverkning</t>
        </is>
      </c>
      <c r="D502" s="1" t="n">
        <v>45691</v>
      </c>
      <c r="E502" s="1" t="n">
        <v>46320</v>
      </c>
      <c r="F502" t="inlineStr">
        <is>
          <t>VÄRMLANDS LÄN</t>
        </is>
      </c>
      <c r="G502" t="inlineStr">
        <is>
          <t>EDA</t>
        </is>
      </c>
      <c r="I502" t="n">
        <v>3.3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s="2" t="inlineStr"/>
    </row>
    <row r="503" ht="15" customHeight="1">
      <c r="A503" t="inlineStr">
        <is>
          <t>A 57348-2022</t>
        </is>
      </c>
      <c r="B503" t="inlineStr">
        <is>
          <t>avverkningsanmälan</t>
        </is>
      </c>
      <c r="C503" t="inlineStr">
        <is>
          <t>Föryngringsavverkning</t>
        </is>
      </c>
      <c r="D503" s="1" t="n">
        <v>44896</v>
      </c>
      <c r="E503" s="1" t="n">
        <v>46320</v>
      </c>
      <c r="F503" t="inlineStr">
        <is>
          <t>VÄRMLANDS LÄN</t>
        </is>
      </c>
      <c r="G503" t="inlineStr">
        <is>
          <t>EDA</t>
        </is>
      </c>
      <c r="I503" t="n">
        <v>3.8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s="2" t="inlineStr"/>
    </row>
    <row r="504" ht="15" customHeight="1">
      <c r="A504" t="inlineStr">
        <is>
          <t>A 20590-2026</t>
        </is>
      </c>
      <c r="B504" t="inlineStr">
        <is>
          <t>avverkningsanmälan</t>
        </is>
      </c>
      <c r="C504" t="inlineStr">
        <is>
          <t>Föryngringsavverkning</t>
        </is>
      </c>
      <c r="D504" s="1" t="n">
        <v>46140</v>
      </c>
      <c r="E504" s="1" t="n">
        <v>46320</v>
      </c>
      <c r="F504" t="inlineStr">
        <is>
          <t>VÄRMLANDS LÄN</t>
        </is>
      </c>
      <c r="G504" t="inlineStr">
        <is>
          <t>EDA</t>
        </is>
      </c>
      <c r="I504" t="n">
        <v>1.2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s="2" t="inlineStr"/>
    </row>
    <row r="505" ht="15" customHeight="1">
      <c r="A505" t="inlineStr">
        <is>
          <t>A 20592-2026</t>
        </is>
      </c>
      <c r="B505" t="inlineStr">
        <is>
          <t>avverkningsanmälan</t>
        </is>
      </c>
      <c r="C505" t="inlineStr">
        <is>
          <t>Föryngringsavverkning</t>
        </is>
      </c>
      <c r="D505" s="1" t="n">
        <v>46140</v>
      </c>
      <c r="E505" s="1" t="n">
        <v>46320</v>
      </c>
      <c r="F505" t="inlineStr">
        <is>
          <t>VÄRMLANDS LÄN</t>
        </is>
      </c>
      <c r="G505" t="inlineStr">
        <is>
          <t>EDA</t>
        </is>
      </c>
      <c r="I505" t="n">
        <v>0.5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s="2" t="inlineStr"/>
    </row>
    <row r="506" ht="15" customHeight="1">
      <c r="A506" t="inlineStr">
        <is>
          <t>A 36443-2026</t>
        </is>
      </c>
      <c r="B506" t="inlineStr">
        <is>
          <t>avverkningsanmälan</t>
        </is>
      </c>
      <c r="C506" t="inlineStr">
        <is>
          <t>Föryngringsavverkning</t>
        </is>
      </c>
      <c r="D506" s="1" t="n">
        <v>46269</v>
      </c>
      <c r="E506" s="1" t="n">
        <v>46320</v>
      </c>
      <c r="F506" t="inlineStr">
        <is>
          <t>VÄRMLANDS LÄN</t>
        </is>
      </c>
      <c r="G506" t="inlineStr">
        <is>
          <t>EDA</t>
        </is>
      </c>
      <c r="I506" t="n">
        <v>4.4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s="2" t="inlineStr"/>
    </row>
    <row r="507" ht="15" customHeight="1">
      <c r="A507" t="inlineStr">
        <is>
          <t>A 56481-2023</t>
        </is>
      </c>
      <c r="B507" t="inlineStr">
        <is>
          <t>avverkningsanmälan</t>
        </is>
      </c>
      <c r="C507" t="inlineStr">
        <is>
          <t>Föryngringsavverkning</t>
        </is>
      </c>
      <c r="D507" s="1" t="n">
        <v>45243</v>
      </c>
      <c r="E507" s="1" t="n">
        <v>46320</v>
      </c>
      <c r="F507" t="inlineStr">
        <is>
          <t>VÄRMLANDS LÄN</t>
        </is>
      </c>
      <c r="G507" t="inlineStr">
        <is>
          <t>EDA</t>
        </is>
      </c>
      <c r="I507" t="n">
        <v>9.9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s="2" t="inlineStr"/>
    </row>
    <row r="508" ht="15" customHeight="1">
      <c r="A508" t="inlineStr">
        <is>
          <t>A 37061-2026</t>
        </is>
      </c>
      <c r="B508" t="inlineStr">
        <is>
          <t>avverkningsanmälan</t>
        </is>
      </c>
      <c r="C508" t="inlineStr">
        <is>
          <t>Föryngringsavverkning</t>
        </is>
      </c>
      <c r="D508" s="1" t="n">
        <v>46273</v>
      </c>
      <c r="E508" s="1" t="n">
        <v>46320</v>
      </c>
      <c r="F508" t="inlineStr">
        <is>
          <t>VÄRMLANDS LÄN</t>
        </is>
      </c>
      <c r="G508" t="inlineStr">
        <is>
          <t>EDA</t>
        </is>
      </c>
      <c r="I508" t="n">
        <v>2.7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s="2" t="inlineStr"/>
    </row>
    <row r="509" ht="15" customHeight="1">
      <c r="A509" t="inlineStr">
        <is>
          <t>A 36685-2025</t>
        </is>
      </c>
      <c r="B509" t="inlineStr">
        <is>
          <t>avverkningsanmälan</t>
        </is>
      </c>
      <c r="C509" t="inlineStr">
        <is>
          <t>Föryngringsavverkning</t>
        </is>
      </c>
      <c r="D509" s="1" t="n">
        <v>45873</v>
      </c>
      <c r="E509" s="1" t="n">
        <v>46320</v>
      </c>
      <c r="F509" t="inlineStr">
        <is>
          <t>VÄRMLANDS LÄN</t>
        </is>
      </c>
      <c r="G509" t="inlineStr">
        <is>
          <t>EDA</t>
        </is>
      </c>
      <c r="I509" t="n">
        <v>2.3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s="2" t="inlineStr"/>
    </row>
    <row r="510" ht="15" customHeight="1">
      <c r="A510" t="inlineStr">
        <is>
          <t>A 2326-2023</t>
        </is>
      </c>
      <c r="B510" t="inlineStr">
        <is>
          <t>avverkningsanmälan</t>
        </is>
      </c>
      <c r="C510" t="inlineStr">
        <is>
          <t>Föryngringsavverkning</t>
        </is>
      </c>
      <c r="D510" s="1" t="n">
        <v>44942</v>
      </c>
      <c r="E510" s="1" t="n">
        <v>46320</v>
      </c>
      <c r="F510" t="inlineStr">
        <is>
          <t>VÄRMLANDS LÄN</t>
        </is>
      </c>
      <c r="G510" t="inlineStr">
        <is>
          <t>EDA</t>
        </is>
      </c>
      <c r="I510" t="n">
        <v>4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s="2" t="inlineStr"/>
    </row>
    <row r="511" ht="15" customHeight="1">
      <c r="A511" t="inlineStr">
        <is>
          <t>A 12826-2025</t>
        </is>
      </c>
      <c r="B511" t="inlineStr">
        <is>
          <t>avverkningsanmälan</t>
        </is>
      </c>
      <c r="C511" t="inlineStr">
        <is>
          <t>Föryngringsavverkning</t>
        </is>
      </c>
      <c r="D511" s="1" t="n">
        <v>45733</v>
      </c>
      <c r="E511" s="1" t="n">
        <v>46320</v>
      </c>
      <c r="F511" t="inlineStr">
        <is>
          <t>VÄRMLANDS LÄN</t>
        </is>
      </c>
      <c r="G511" t="inlineStr">
        <is>
          <t>EDA</t>
        </is>
      </c>
      <c r="I511" t="n">
        <v>1.2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s="2" t="inlineStr"/>
    </row>
    <row r="512" ht="15" customHeight="1">
      <c r="A512" t="inlineStr">
        <is>
          <t>A 15044-2026</t>
        </is>
      </c>
      <c r="B512" t="inlineStr">
        <is>
          <t>avverkningsanmälan</t>
        </is>
      </c>
      <c r="C512" t="inlineStr">
        <is>
          <t>Föryngringsavverkning</t>
        </is>
      </c>
      <c r="D512" s="1" t="n">
        <v>46104</v>
      </c>
      <c r="E512" s="1" t="n">
        <v>46320</v>
      </c>
      <c r="F512" t="inlineStr">
        <is>
          <t>VÄRMLANDS LÄN</t>
        </is>
      </c>
      <c r="G512" t="inlineStr">
        <is>
          <t>EDA</t>
        </is>
      </c>
      <c r="I512" t="n">
        <v>1.2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s="2" t="inlineStr"/>
    </row>
    <row r="513" ht="15" customHeight="1">
      <c r="A513" t="inlineStr">
        <is>
          <t>A 25929-2025</t>
        </is>
      </c>
      <c r="B513" t="inlineStr">
        <is>
          <t>avverkningsanmälan</t>
        </is>
      </c>
      <c r="C513" t="inlineStr">
        <is>
          <t>Föryngringsavverkning</t>
        </is>
      </c>
      <c r="D513" s="1" t="n">
        <v>45804</v>
      </c>
      <c r="E513" s="1" t="n">
        <v>46320</v>
      </c>
      <c r="F513" t="inlineStr">
        <is>
          <t>VÄRMLANDS LÄN</t>
        </is>
      </c>
      <c r="G513" t="inlineStr">
        <is>
          <t>EDA</t>
        </is>
      </c>
      <c r="I513" t="n">
        <v>1.7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s="2" t="inlineStr"/>
    </row>
    <row r="514" ht="15" customHeight="1">
      <c r="A514" t="inlineStr">
        <is>
          <t>A 43757-2026</t>
        </is>
      </c>
      <c r="B514" t="inlineStr">
        <is>
          <t>avverkningsanmälan</t>
        </is>
      </c>
      <c r="C514" t="inlineStr">
        <is>
          <t>Föryngringsavverkning</t>
        </is>
      </c>
      <c r="D514" s="1" t="n">
        <v>46316</v>
      </c>
      <c r="E514" s="1" t="n">
        <v>46320</v>
      </c>
      <c r="F514" t="inlineStr">
        <is>
          <t>VÄRMLANDS LÄN</t>
        </is>
      </c>
      <c r="G514" t="inlineStr">
        <is>
          <t>EDA</t>
        </is>
      </c>
      <c r="I514" t="n">
        <v>5.8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s="2" t="inlineStr"/>
    </row>
    <row r="515" ht="15" customHeight="1">
      <c r="A515" t="inlineStr">
        <is>
          <t>A 20557-2026</t>
        </is>
      </c>
      <c r="B515" t="inlineStr">
        <is>
          <t>avverkningsanmälan</t>
        </is>
      </c>
      <c r="C515" t="inlineStr">
        <is>
          <t>Föryngringsavverkning</t>
        </is>
      </c>
      <c r="D515" s="1" t="n">
        <v>46140</v>
      </c>
      <c r="E515" s="1" t="n">
        <v>46320</v>
      </c>
      <c r="F515" t="inlineStr">
        <is>
          <t>VÄRMLANDS LÄN</t>
        </is>
      </c>
      <c r="G515" t="inlineStr">
        <is>
          <t>EDA</t>
        </is>
      </c>
      <c r="H515" t="inlineStr">
        <is>
          <t>Bergvik skog väst AB</t>
        </is>
      </c>
      <c r="I515" t="n">
        <v>3.7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s="2" t="inlineStr"/>
    </row>
    <row r="516" ht="15" customHeight="1">
      <c r="A516" t="inlineStr">
        <is>
          <t>A 34634-2023</t>
        </is>
      </c>
      <c r="B516" t="inlineStr">
        <is>
          <t>avverkningsanmälan</t>
        </is>
      </c>
      <c r="C516" t="inlineStr">
        <is>
          <t>Föryngringsavverkning</t>
        </is>
      </c>
      <c r="D516" s="1" t="n">
        <v>45140</v>
      </c>
      <c r="E516" s="1" t="n">
        <v>46320</v>
      </c>
      <c r="F516" t="inlineStr">
        <is>
          <t>VÄRMLANDS LÄN</t>
        </is>
      </c>
      <c r="G516" t="inlineStr">
        <is>
          <t>EDA</t>
        </is>
      </c>
      <c r="I516" t="n">
        <v>4.3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s="2" t="inlineStr"/>
    </row>
    <row r="517" ht="15" customHeight="1">
      <c r="A517" t="inlineStr">
        <is>
          <t>A 30997-2025</t>
        </is>
      </c>
      <c r="B517" t="inlineStr">
        <is>
          <t>avverkningsanmälan</t>
        </is>
      </c>
      <c r="C517" t="inlineStr">
        <is>
          <t>Föryngringsavverkning</t>
        </is>
      </c>
      <c r="D517" s="1" t="n">
        <v>45832</v>
      </c>
      <c r="E517" s="1" t="n">
        <v>46320</v>
      </c>
      <c r="F517" t="inlineStr">
        <is>
          <t>VÄRMLANDS LÄN</t>
        </is>
      </c>
      <c r="G517" t="inlineStr">
        <is>
          <t>EDA</t>
        </is>
      </c>
      <c r="I517" t="n">
        <v>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s="2" t="inlineStr"/>
    </row>
    <row r="518" ht="15" customHeight="1">
      <c r="A518" t="inlineStr">
        <is>
          <t>A 27886-2023</t>
        </is>
      </c>
      <c r="B518" t="inlineStr">
        <is>
          <t>avverkningsanmälan</t>
        </is>
      </c>
      <c r="C518" t="inlineStr">
        <is>
          <t>Föryngringsavverkning</t>
        </is>
      </c>
      <c r="D518" s="1" t="n">
        <v>45098</v>
      </c>
      <c r="E518" s="1" t="n">
        <v>46320</v>
      </c>
      <c r="F518" t="inlineStr">
        <is>
          <t>VÄRMLANDS LÄN</t>
        </is>
      </c>
      <c r="G518" t="inlineStr">
        <is>
          <t>EDA</t>
        </is>
      </c>
      <c r="I518" t="n">
        <v>2.1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s="2" t="inlineStr"/>
    </row>
    <row r="519" ht="15" customHeight="1">
      <c r="A519" t="inlineStr">
        <is>
          <t>A 60049-2024</t>
        </is>
      </c>
      <c r="B519" t="inlineStr">
        <is>
          <t>avverkningsanmälan</t>
        </is>
      </c>
      <c r="C519" t="inlineStr">
        <is>
          <t>Föryngringsavverkning</t>
        </is>
      </c>
      <c r="D519" s="1" t="n">
        <v>45642</v>
      </c>
      <c r="E519" s="1" t="n">
        <v>46320</v>
      </c>
      <c r="F519" t="inlineStr">
        <is>
          <t>VÄRMLANDS LÄN</t>
        </is>
      </c>
      <c r="G519" t="inlineStr">
        <is>
          <t>EDA</t>
        </is>
      </c>
      <c r="I519" t="n">
        <v>1.8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s="2" t="inlineStr"/>
    </row>
    <row r="520" ht="15" customHeight="1">
      <c r="A520" t="inlineStr">
        <is>
          <t>A 47883-2025</t>
        </is>
      </c>
      <c r="B520" t="inlineStr">
        <is>
          <t>avverkningsanmälan</t>
        </is>
      </c>
      <c r="C520" t="inlineStr">
        <is>
          <t>Föryngringsavverkning</t>
        </is>
      </c>
      <c r="D520" s="1" t="n">
        <v>45932</v>
      </c>
      <c r="E520" s="1" t="n">
        <v>46320</v>
      </c>
      <c r="F520" t="inlineStr">
        <is>
          <t>VÄRMLANDS LÄN</t>
        </is>
      </c>
      <c r="G520" t="inlineStr">
        <is>
          <t>EDA</t>
        </is>
      </c>
      <c r="I520" t="n">
        <v>4.7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s="2" t="inlineStr"/>
    </row>
    <row r="521" ht="15" customHeight="1">
      <c r="A521" t="inlineStr">
        <is>
          <t>A 36120-2025</t>
        </is>
      </c>
      <c r="B521" t="inlineStr">
        <is>
          <t>avverkningsanmälan</t>
        </is>
      </c>
      <c r="C521" t="inlineStr">
        <is>
          <t>Föryngringsavverkning</t>
        </is>
      </c>
      <c r="D521" s="1" t="n">
        <v>45866</v>
      </c>
      <c r="E521" s="1" t="n">
        <v>46320</v>
      </c>
      <c r="F521" t="inlineStr">
        <is>
          <t>VÄRMLANDS LÄN</t>
        </is>
      </c>
      <c r="G521" t="inlineStr">
        <is>
          <t>EDA</t>
        </is>
      </c>
      <c r="I521" t="n">
        <v>3.4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s="2" t="inlineStr"/>
    </row>
    <row r="522" ht="15" customHeight="1">
      <c r="A522" t="inlineStr">
        <is>
          <t>A 28077-2026</t>
        </is>
      </c>
      <c r="B522" t="inlineStr">
        <is>
          <t>avverkningsanmälan</t>
        </is>
      </c>
      <c r="C522" t="inlineStr">
        <is>
          <t>Föryngringsavverkning</t>
        </is>
      </c>
      <c r="D522" s="1" t="n">
        <v>46195</v>
      </c>
      <c r="E522" s="1" t="n">
        <v>46320</v>
      </c>
      <c r="F522" t="inlineStr">
        <is>
          <t>VÄRMLANDS LÄN</t>
        </is>
      </c>
      <c r="G522" t="inlineStr">
        <is>
          <t>EDA</t>
        </is>
      </c>
      <c r="H522" t="inlineStr">
        <is>
          <t>Bergvik skog väst AB</t>
        </is>
      </c>
      <c r="I522" t="n">
        <v>1.2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s="2" t="inlineStr"/>
    </row>
    <row r="523" ht="15" customHeight="1">
      <c r="A523" t="inlineStr">
        <is>
          <t>A 57865-2022</t>
        </is>
      </c>
      <c r="B523" t="inlineStr">
        <is>
          <t>avverkningsanmälan</t>
        </is>
      </c>
      <c r="C523" t="inlineStr">
        <is>
          <t>Föryngringsavverkning</t>
        </is>
      </c>
      <c r="D523" s="1" t="n">
        <v>44899</v>
      </c>
      <c r="E523" s="1" t="n">
        <v>46320</v>
      </c>
      <c r="F523" t="inlineStr">
        <is>
          <t>VÄRMLANDS LÄN</t>
        </is>
      </c>
      <c r="G523" t="inlineStr">
        <is>
          <t>EDA</t>
        </is>
      </c>
      <c r="I523" t="n">
        <v>2.5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s="2" t="inlineStr"/>
    </row>
    <row r="524" ht="15" customHeight="1">
      <c r="A524" t="inlineStr">
        <is>
          <t>A 59805-2021</t>
        </is>
      </c>
      <c r="B524" t="inlineStr">
        <is>
          <t>avverkningsanmälan</t>
        </is>
      </c>
      <c r="C524" t="inlineStr">
        <is>
          <t>Föryngringsavverkning</t>
        </is>
      </c>
      <c r="D524" s="1" t="n">
        <v>44494</v>
      </c>
      <c r="E524" s="1" t="n">
        <v>46320</v>
      </c>
      <c r="F524" t="inlineStr">
        <is>
          <t>VÄRMLANDS LÄN</t>
        </is>
      </c>
      <c r="G524" t="inlineStr">
        <is>
          <t>EDA</t>
        </is>
      </c>
      <c r="I524" t="n">
        <v>8.699999999999999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s="2" t="inlineStr"/>
    </row>
    <row r="525" ht="15" customHeight="1">
      <c r="A525" t="inlineStr">
        <is>
          <t>A 53030-2024</t>
        </is>
      </c>
      <c r="B525" t="inlineStr">
        <is>
          <t>avverkningsanmälan</t>
        </is>
      </c>
      <c r="C525" t="inlineStr">
        <is>
          <t>Föryngringsavverkning</t>
        </is>
      </c>
      <c r="D525" s="1" t="n">
        <v>45611</v>
      </c>
      <c r="E525" s="1" t="n">
        <v>46320</v>
      </c>
      <c r="F525" t="inlineStr">
        <is>
          <t>VÄRMLANDS LÄN</t>
        </is>
      </c>
      <c r="G525" t="inlineStr">
        <is>
          <t>EDA</t>
        </is>
      </c>
      <c r="I525" t="n">
        <v>1.2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s="2" t="inlineStr"/>
    </row>
    <row r="526" ht="15" customHeight="1">
      <c r="A526" t="inlineStr">
        <is>
          <t>A 16369-2025</t>
        </is>
      </c>
      <c r="B526" t="inlineStr">
        <is>
          <t>avverkningsanmälan</t>
        </is>
      </c>
      <c r="C526" t="inlineStr">
        <is>
          <t>Föryngringsavverkning</t>
        </is>
      </c>
      <c r="D526" s="1" t="n">
        <v>45751</v>
      </c>
      <c r="E526" s="1" t="n">
        <v>46320</v>
      </c>
      <c r="F526" t="inlineStr">
        <is>
          <t>VÄRMLANDS LÄN</t>
        </is>
      </c>
      <c r="G526" t="inlineStr">
        <is>
          <t>EDA</t>
        </is>
      </c>
      <c r="I526" t="n">
        <v>3.3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s="2" t="inlineStr"/>
    </row>
    <row r="527" ht="15" customHeight="1">
      <c r="A527" t="inlineStr">
        <is>
          <t>A 31322-2023</t>
        </is>
      </c>
      <c r="B527" t="inlineStr">
        <is>
          <t>avverkningsanmälan</t>
        </is>
      </c>
      <c r="C527" t="inlineStr">
        <is>
          <t>Föryngringsavverkning</t>
        </is>
      </c>
      <c r="D527" s="1" t="n">
        <v>45114</v>
      </c>
      <c r="E527" s="1" t="n">
        <v>46320</v>
      </c>
      <c r="F527" t="inlineStr">
        <is>
          <t>VÄRMLANDS LÄN</t>
        </is>
      </c>
      <c r="G527" t="inlineStr">
        <is>
          <t>EDA</t>
        </is>
      </c>
      <c r="I527" t="n">
        <v>1.1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s="2" t="inlineStr"/>
    </row>
    <row r="528" ht="15" customHeight="1">
      <c r="A528" t="inlineStr">
        <is>
          <t>A 52034-2024</t>
        </is>
      </c>
      <c r="B528" t="inlineStr">
        <is>
          <t>avverkningsanmälan</t>
        </is>
      </c>
      <c r="C528" t="inlineStr">
        <is>
          <t>Föryngringsavverkning</t>
        </is>
      </c>
      <c r="D528" s="1" t="n">
        <v>45608</v>
      </c>
      <c r="E528" s="1" t="n">
        <v>46320</v>
      </c>
      <c r="F528" t="inlineStr">
        <is>
          <t>VÄRMLANDS LÄN</t>
        </is>
      </c>
      <c r="G528" t="inlineStr">
        <is>
          <t>EDA</t>
        </is>
      </c>
      <c r="I528" t="n">
        <v>4.1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s="2" t="inlineStr"/>
    </row>
    <row r="529" ht="15" customHeight="1">
      <c r="A529" t="inlineStr">
        <is>
          <t>A 16743-2025</t>
        </is>
      </c>
      <c r="B529" t="inlineStr">
        <is>
          <t>avverkningsanmälan</t>
        </is>
      </c>
      <c r="C529" t="inlineStr">
        <is>
          <t>Föryngringsavverkning</t>
        </is>
      </c>
      <c r="D529" s="1" t="n">
        <v>45754</v>
      </c>
      <c r="E529" s="1" t="n">
        <v>46320</v>
      </c>
      <c r="F529" t="inlineStr">
        <is>
          <t>VÄRMLANDS LÄN</t>
        </is>
      </c>
      <c r="G529" t="inlineStr">
        <is>
          <t>EDA</t>
        </is>
      </c>
      <c r="I529" t="n">
        <v>1.3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s="2" t="inlineStr"/>
    </row>
    <row r="530" ht="15" customHeight="1">
      <c r="A530" t="inlineStr">
        <is>
          <t>A 43771-2026</t>
        </is>
      </c>
      <c r="B530" t="inlineStr">
        <is>
          <t>avverkningsanmälan</t>
        </is>
      </c>
      <c r="C530" t="inlineStr">
        <is>
          <t>Föryngringsavverkning</t>
        </is>
      </c>
      <c r="D530" s="1" t="n">
        <v>46316</v>
      </c>
      <c r="E530" s="1" t="n">
        <v>46320</v>
      </c>
      <c r="F530" t="inlineStr">
        <is>
          <t>VÄRMLANDS LÄN</t>
        </is>
      </c>
      <c r="G530" t="inlineStr">
        <is>
          <t>EDA</t>
        </is>
      </c>
      <c r="I530" t="n">
        <v>2.4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s="2" t="inlineStr"/>
    </row>
    <row r="531" ht="15" customHeight="1">
      <c r="A531" t="inlineStr">
        <is>
          <t>A 28194-2025</t>
        </is>
      </c>
      <c r="B531" t="inlineStr">
        <is>
          <t>avverkningsanmälan</t>
        </is>
      </c>
      <c r="C531" t="inlineStr">
        <is>
          <t>Föryngringsavverkning</t>
        </is>
      </c>
      <c r="D531" s="1" t="n">
        <v>45818</v>
      </c>
      <c r="E531" s="1" t="n">
        <v>46320</v>
      </c>
      <c r="F531" t="inlineStr">
        <is>
          <t>VÄRMLANDS LÄN</t>
        </is>
      </c>
      <c r="G531" t="inlineStr">
        <is>
          <t>EDA</t>
        </is>
      </c>
      <c r="I531" t="n">
        <v>2.4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s="2" t="inlineStr"/>
    </row>
    <row r="532" ht="15" customHeight="1">
      <c r="A532" t="inlineStr">
        <is>
          <t>A 37609-2024</t>
        </is>
      </c>
      <c r="B532" t="inlineStr">
        <is>
          <t>avverkningsanmälan</t>
        </is>
      </c>
      <c r="C532" t="inlineStr">
        <is>
          <t>Föryngringsavverkning</t>
        </is>
      </c>
      <c r="D532" s="1" t="n">
        <v>45541</v>
      </c>
      <c r="E532" s="1" t="n">
        <v>46320</v>
      </c>
      <c r="F532" t="inlineStr">
        <is>
          <t>VÄRMLANDS LÄN</t>
        </is>
      </c>
      <c r="G532" t="inlineStr">
        <is>
          <t>EDA</t>
        </is>
      </c>
      <c r="I532" t="n">
        <v>1.9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s="2" t="inlineStr"/>
    </row>
    <row r="533" ht="15" customHeight="1">
      <c r="A533" t="inlineStr">
        <is>
          <t>A 12615-2022</t>
        </is>
      </c>
      <c r="B533" t="inlineStr">
        <is>
          <t>avverkningsanmälan</t>
        </is>
      </c>
      <c r="C533" t="inlineStr">
        <is>
          <t>Föryngringsavverkning</t>
        </is>
      </c>
      <c r="D533" s="1" t="n">
        <v>44641</v>
      </c>
      <c r="E533" s="1" t="n">
        <v>46320</v>
      </c>
      <c r="F533" t="inlineStr">
        <is>
          <t>VÄRMLANDS LÄN</t>
        </is>
      </c>
      <c r="G533" t="inlineStr">
        <is>
          <t>EDA</t>
        </is>
      </c>
      <c r="I533" t="n">
        <v>2.6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s="2" t="inlineStr"/>
    </row>
    <row r="534" ht="15" customHeight="1">
      <c r="A534" t="inlineStr">
        <is>
          <t>A 1235-2026</t>
        </is>
      </c>
      <c r="B534" t="inlineStr">
        <is>
          <t>avverkningsanmälan</t>
        </is>
      </c>
      <c r="C534" t="inlineStr">
        <is>
          <t>Föryngringsavverkning</t>
        </is>
      </c>
      <c r="D534" s="1" t="n">
        <v>46031</v>
      </c>
      <c r="E534" s="1" t="n">
        <v>46320</v>
      </c>
      <c r="F534" t="inlineStr">
        <is>
          <t>VÄRMLANDS LÄN</t>
        </is>
      </c>
      <c r="G534" t="inlineStr">
        <is>
          <t>EDA</t>
        </is>
      </c>
      <c r="I534" t="n">
        <v>1.4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s="2" t="inlineStr"/>
    </row>
    <row r="535" ht="15" customHeight="1">
      <c r="A535" t="inlineStr">
        <is>
          <t>A 43033-2026</t>
        </is>
      </c>
      <c r="B535" t="inlineStr">
        <is>
          <t>avverkningsanmälan</t>
        </is>
      </c>
      <c r="C535" t="inlineStr">
        <is>
          <t>Föryngringsavverkning</t>
        </is>
      </c>
      <c r="D535" s="1" t="n">
        <v>46311</v>
      </c>
      <c r="E535" s="1" t="n">
        <v>46320</v>
      </c>
      <c r="F535" t="inlineStr">
        <is>
          <t>VÄRMLANDS LÄN</t>
        </is>
      </c>
      <c r="G535" t="inlineStr">
        <is>
          <t>EDA</t>
        </is>
      </c>
      <c r="I535" t="n">
        <v>1.6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s="2" t="inlineStr"/>
    </row>
    <row r="536" ht="15" customHeight="1">
      <c r="A536" t="inlineStr">
        <is>
          <t>A 36287-2023</t>
        </is>
      </c>
      <c r="B536" t="inlineStr">
        <is>
          <t>avverkningsanmälan</t>
        </is>
      </c>
      <c r="C536" t="inlineStr">
        <is>
          <t>Föryngringsavverkning</t>
        </is>
      </c>
      <c r="D536" s="1" t="n">
        <v>45152</v>
      </c>
      <c r="E536" s="1" t="n">
        <v>46320</v>
      </c>
      <c r="F536" t="inlineStr">
        <is>
          <t>VÄRMLANDS LÄN</t>
        </is>
      </c>
      <c r="G536" t="inlineStr">
        <is>
          <t>EDA</t>
        </is>
      </c>
      <c r="I536" t="n">
        <v>3.2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s="2" t="inlineStr"/>
    </row>
    <row r="537" ht="15" customHeight="1">
      <c r="A537" t="inlineStr">
        <is>
          <t>A 36295-2023</t>
        </is>
      </c>
      <c r="B537" t="inlineStr">
        <is>
          <t>avverkningsanmälan</t>
        </is>
      </c>
      <c r="C537" t="inlineStr">
        <is>
          <t>Föryngringsavverkning</t>
        </is>
      </c>
      <c r="D537" s="1" t="n">
        <v>45152</v>
      </c>
      <c r="E537" s="1" t="n">
        <v>46320</v>
      </c>
      <c r="F537" t="inlineStr">
        <is>
          <t>VÄRMLANDS LÄN</t>
        </is>
      </c>
      <c r="G537" t="inlineStr">
        <is>
          <t>EDA</t>
        </is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s="2" t="inlineStr"/>
    </row>
    <row r="538" ht="15" customHeight="1">
      <c r="A538" t="inlineStr">
        <is>
          <t>A 20659-2023</t>
        </is>
      </c>
      <c r="B538" t="inlineStr">
        <is>
          <t>avverkningsanmälan</t>
        </is>
      </c>
      <c r="C538" t="inlineStr">
        <is>
          <t>Föryngringsavverkning</t>
        </is>
      </c>
      <c r="D538" s="1" t="n">
        <v>45058</v>
      </c>
      <c r="E538" s="1" t="n">
        <v>46320</v>
      </c>
      <c r="F538" t="inlineStr">
        <is>
          <t>VÄRMLANDS LÄN</t>
        </is>
      </c>
      <c r="G538" t="inlineStr">
        <is>
          <t>EDA</t>
        </is>
      </c>
      <c r="I538" t="n">
        <v>0.9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s="2" t="inlineStr"/>
    </row>
    <row r="539" ht="15" customHeight="1">
      <c r="A539" t="inlineStr">
        <is>
          <t>A 37127-2026</t>
        </is>
      </c>
      <c r="B539" t="inlineStr">
        <is>
          <t>avverkningsanmälan</t>
        </is>
      </c>
      <c r="C539" t="inlineStr">
        <is>
          <t>Föryngringsavverkning</t>
        </is>
      </c>
      <c r="D539" s="1" t="n">
        <v>46274</v>
      </c>
      <c r="E539" s="1" t="n">
        <v>46320</v>
      </c>
      <c r="F539" t="inlineStr">
        <is>
          <t>VÄRMLANDS LÄN</t>
        </is>
      </c>
      <c r="G539" t="inlineStr">
        <is>
          <t>EDA</t>
        </is>
      </c>
      <c r="I539" t="n">
        <v>5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s="2" t="inlineStr"/>
    </row>
    <row r="540" ht="15" customHeight="1">
      <c r="A540" t="inlineStr">
        <is>
          <t>A 61279-2022</t>
        </is>
      </c>
      <c r="B540" t="inlineStr">
        <is>
          <t>avverkningsanmälan</t>
        </is>
      </c>
      <c r="C540" t="inlineStr">
        <is>
          <t>Föryngringsavverkning</t>
        </is>
      </c>
      <c r="D540" s="1" t="n">
        <v>44915</v>
      </c>
      <c r="E540" s="1" t="n">
        <v>46320</v>
      </c>
      <c r="F540" t="inlineStr">
        <is>
          <t>VÄRMLANDS LÄN</t>
        </is>
      </c>
      <c r="G540" t="inlineStr">
        <is>
          <t>EDA</t>
        </is>
      </c>
      <c r="I540" t="n">
        <v>2.8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s="2" t="inlineStr"/>
    </row>
    <row r="541" ht="15" customHeight="1">
      <c r="A541" t="inlineStr">
        <is>
          <t>A 61282-2022</t>
        </is>
      </c>
      <c r="B541" t="inlineStr">
        <is>
          <t>avverkningsanmälan</t>
        </is>
      </c>
      <c r="C541" t="inlineStr">
        <is>
          <t>Föryngringsavverkning</t>
        </is>
      </c>
      <c r="D541" s="1" t="n">
        <v>44915</v>
      </c>
      <c r="E541" s="1" t="n">
        <v>46320</v>
      </c>
      <c r="F541" t="inlineStr">
        <is>
          <t>VÄRMLANDS LÄN</t>
        </is>
      </c>
      <c r="G541" t="inlineStr">
        <is>
          <t>EDA</t>
        </is>
      </c>
      <c r="I541" t="n">
        <v>3.3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s="2" t="inlineStr"/>
    </row>
    <row r="542" ht="15" customHeight="1">
      <c r="A542" t="inlineStr">
        <is>
          <t>A 49222-2023</t>
        </is>
      </c>
      <c r="B542" t="inlineStr">
        <is>
          <t>avverkningsanmälan</t>
        </is>
      </c>
      <c r="C542" t="inlineStr">
        <is>
          <t>Föryngringsavverkning</t>
        </is>
      </c>
      <c r="D542" s="1" t="n">
        <v>45210</v>
      </c>
      <c r="E542" s="1" t="n">
        <v>46320</v>
      </c>
      <c r="F542" t="inlineStr">
        <is>
          <t>VÄRMLANDS LÄN</t>
        </is>
      </c>
      <c r="G542" t="inlineStr">
        <is>
          <t>EDA</t>
        </is>
      </c>
      <c r="I542" t="n">
        <v>3.4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s="2" t="inlineStr"/>
    </row>
    <row r="543" ht="15" customHeight="1">
      <c r="A543" t="inlineStr">
        <is>
          <t>A 37326-2026</t>
        </is>
      </c>
      <c r="B543" t="inlineStr">
        <is>
          <t>avverkningsanmälan</t>
        </is>
      </c>
      <c r="C543" t="inlineStr">
        <is>
          <t>Föryngringsavverkning</t>
        </is>
      </c>
      <c r="D543" s="1" t="n">
        <v>46275</v>
      </c>
      <c r="E543" s="1" t="n">
        <v>46320</v>
      </c>
      <c r="F543" t="inlineStr">
        <is>
          <t>VÄRMLANDS LÄN</t>
        </is>
      </c>
      <c r="G543" t="inlineStr">
        <is>
          <t>EDA</t>
        </is>
      </c>
      <c r="I543" t="n">
        <v>5.7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s="2" t="inlineStr"/>
    </row>
    <row r="544" ht="15" customHeight="1">
      <c r="A544" t="inlineStr">
        <is>
          <t>A 10733-2025</t>
        </is>
      </c>
      <c r="B544" t="inlineStr">
        <is>
          <t>avverkningsanmälan</t>
        </is>
      </c>
      <c r="C544" t="inlineStr">
        <is>
          <t>Föryngringsavverkning</t>
        </is>
      </c>
      <c r="D544" s="1" t="n">
        <v>45722</v>
      </c>
      <c r="E544" s="1" t="n">
        <v>46320</v>
      </c>
      <c r="F544" t="inlineStr">
        <is>
          <t>VÄRMLANDS LÄN</t>
        </is>
      </c>
      <c r="G544" t="inlineStr">
        <is>
          <t>EDA</t>
        </is>
      </c>
      <c r="I544" t="n">
        <v>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s="2" t="inlineStr"/>
    </row>
    <row r="545" ht="15" customHeight="1">
      <c r="A545" t="inlineStr">
        <is>
          <t>A 26947-2025</t>
        </is>
      </c>
      <c r="B545" t="inlineStr">
        <is>
          <t>avverkningsanmälan</t>
        </is>
      </c>
      <c r="C545" t="inlineStr">
        <is>
          <t>Föryngringsavverkning</t>
        </is>
      </c>
      <c r="D545" s="1" t="n">
        <v>45811</v>
      </c>
      <c r="E545" s="1" t="n">
        <v>46320</v>
      </c>
      <c r="F545" t="inlineStr">
        <is>
          <t>VÄRMLANDS LÄN</t>
        </is>
      </c>
      <c r="G545" t="inlineStr">
        <is>
          <t>EDA</t>
        </is>
      </c>
      <c r="I545" t="n">
        <v>1.7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s="2" t="inlineStr"/>
    </row>
    <row r="546" ht="15" customHeight="1">
      <c r="A546" t="inlineStr">
        <is>
          <t>A 15258-2022</t>
        </is>
      </c>
      <c r="B546" t="inlineStr">
        <is>
          <t>avverkningsanmälan</t>
        </is>
      </c>
      <c r="C546" t="inlineStr">
        <is>
          <t>Föryngringsavverkning</t>
        </is>
      </c>
      <c r="D546" s="1" t="n">
        <v>44659</v>
      </c>
      <c r="E546" s="1" t="n">
        <v>46320</v>
      </c>
      <c r="F546" t="inlineStr">
        <is>
          <t>VÄRMLANDS LÄN</t>
        </is>
      </c>
      <c r="G546" t="inlineStr">
        <is>
          <t>EDA</t>
        </is>
      </c>
      <c r="I546" t="n">
        <v>1.2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s="2" t="inlineStr"/>
    </row>
    <row r="547" ht="15" customHeight="1">
      <c r="A547" t="inlineStr">
        <is>
          <t>A 55899-2024</t>
        </is>
      </c>
      <c r="B547" t="inlineStr">
        <is>
          <t>avverkningsanmälan</t>
        </is>
      </c>
      <c r="C547" t="inlineStr">
        <is>
          <t>Föryngringsavverkning</t>
        </is>
      </c>
      <c r="D547" s="1" t="n">
        <v>45623</v>
      </c>
      <c r="E547" s="1" t="n">
        <v>46320</v>
      </c>
      <c r="F547" t="inlineStr">
        <is>
          <t>VÄRMLANDS LÄN</t>
        </is>
      </c>
      <c r="G547" t="inlineStr">
        <is>
          <t>EDA</t>
        </is>
      </c>
      <c r="I547" t="n">
        <v>1.3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s="2" t="inlineStr"/>
    </row>
    <row r="548" ht="15" customHeight="1">
      <c r="A548" t="inlineStr">
        <is>
          <t>A 21112-2026</t>
        </is>
      </c>
      <c r="B548" t="inlineStr">
        <is>
          <t>avverkningsanmälan</t>
        </is>
      </c>
      <c r="C548" t="inlineStr">
        <is>
          <t>Föryngringsavverkning</t>
        </is>
      </c>
      <c r="D548" s="1" t="n">
        <v>46146</v>
      </c>
      <c r="E548" s="1" t="n">
        <v>46320</v>
      </c>
      <c r="F548" t="inlineStr">
        <is>
          <t>VÄRMLANDS LÄN</t>
        </is>
      </c>
      <c r="G548" t="inlineStr">
        <is>
          <t>EDA</t>
        </is>
      </c>
      <c r="I548" t="n">
        <v>2.8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s="2" t="inlineStr"/>
    </row>
    <row r="549" ht="15" customHeight="1">
      <c r="A549" t="inlineStr">
        <is>
          <t>A 37105-2026</t>
        </is>
      </c>
      <c r="B549" t="inlineStr">
        <is>
          <t>avverkningsanmälan</t>
        </is>
      </c>
      <c r="C549" t="inlineStr">
        <is>
          <t>Föryngringsavverkning</t>
        </is>
      </c>
      <c r="D549" s="1" t="n">
        <v>46274</v>
      </c>
      <c r="E549" s="1" t="n">
        <v>46320</v>
      </c>
      <c r="F549" t="inlineStr">
        <is>
          <t>VÄRMLANDS LÄN</t>
        </is>
      </c>
      <c r="G549" t="inlineStr">
        <is>
          <t>EDA</t>
        </is>
      </c>
      <c r="I549" t="n">
        <v>3.8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s="2" t="inlineStr"/>
    </row>
    <row r="550" ht="15" customHeight="1">
      <c r="A550" t="inlineStr">
        <is>
          <t>A 10145-2023</t>
        </is>
      </c>
      <c r="B550" t="inlineStr">
        <is>
          <t>avverkningsanmälan</t>
        </is>
      </c>
      <c r="C550" t="inlineStr">
        <is>
          <t>Föryngringsavverkning</t>
        </is>
      </c>
      <c r="D550" s="1" t="n">
        <v>44986</v>
      </c>
      <c r="E550" s="1" t="n">
        <v>46320</v>
      </c>
      <c r="F550" t="inlineStr">
        <is>
          <t>VÄRMLANDS LÄN</t>
        </is>
      </c>
      <c r="G550" t="inlineStr">
        <is>
          <t>EDA</t>
        </is>
      </c>
      <c r="I550" t="n">
        <v>2.9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s="2" t="inlineStr"/>
    </row>
    <row r="551" ht="15" customHeight="1">
      <c r="A551" t="inlineStr">
        <is>
          <t>A 21522-2026</t>
        </is>
      </c>
      <c r="B551" t="inlineStr">
        <is>
          <t>avverkningsanmälan</t>
        </is>
      </c>
      <c r="C551" t="inlineStr">
        <is>
          <t>Föryngringsavverkning</t>
        </is>
      </c>
      <c r="D551" s="1" t="n">
        <v>46148</v>
      </c>
      <c r="E551" s="1" t="n">
        <v>46320</v>
      </c>
      <c r="F551" t="inlineStr">
        <is>
          <t>VÄRMLANDS LÄN</t>
        </is>
      </c>
      <c r="G551" t="inlineStr">
        <is>
          <t>EDA</t>
        </is>
      </c>
      <c r="I551" t="n">
        <v>0.7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s="2" t="inlineStr"/>
    </row>
    <row r="552" ht="15" customHeight="1">
      <c r="A552" t="inlineStr">
        <is>
          <t>A 21540-2026</t>
        </is>
      </c>
      <c r="B552" t="inlineStr">
        <is>
          <t>avverkningsanmälan</t>
        </is>
      </c>
      <c r="C552" t="inlineStr">
        <is>
          <t>Föryngringsavverkning</t>
        </is>
      </c>
      <c r="D552" s="1" t="n">
        <v>46148</v>
      </c>
      <c r="E552" s="1" t="n">
        <v>46320</v>
      </c>
      <c r="F552" t="inlineStr">
        <is>
          <t>VÄRMLANDS LÄN</t>
        </is>
      </c>
      <c r="G552" t="inlineStr">
        <is>
          <t>EDA</t>
        </is>
      </c>
      <c r="I552" t="n">
        <v>1.9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s="2" t="inlineStr"/>
    </row>
    <row r="553" ht="15" customHeight="1">
      <c r="A553" t="inlineStr">
        <is>
          <t>A 21515-2026</t>
        </is>
      </c>
      <c r="B553" t="inlineStr">
        <is>
          <t>avverkningsanmälan</t>
        </is>
      </c>
      <c r="C553" t="inlineStr">
        <is>
          <t>Föryngringsavverkning</t>
        </is>
      </c>
      <c r="D553" s="1" t="n">
        <v>46148</v>
      </c>
      <c r="E553" s="1" t="n">
        <v>46320</v>
      </c>
      <c r="F553" t="inlineStr">
        <is>
          <t>VÄRMLANDS LÄN</t>
        </is>
      </c>
      <c r="G553" t="inlineStr">
        <is>
          <t>EDA</t>
        </is>
      </c>
      <c r="I553" t="n">
        <v>2.4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s="2" t="inlineStr"/>
    </row>
    <row r="554" ht="15" customHeight="1">
      <c r="A554" t="inlineStr">
        <is>
          <t>A 21523-2026</t>
        </is>
      </c>
      <c r="B554" t="inlineStr">
        <is>
          <t>avverkningsanmälan</t>
        </is>
      </c>
      <c r="C554" t="inlineStr">
        <is>
          <t>Föryngringsavverkning</t>
        </is>
      </c>
      <c r="D554" s="1" t="n">
        <v>46148</v>
      </c>
      <c r="E554" s="1" t="n">
        <v>46320</v>
      </c>
      <c r="F554" t="inlineStr">
        <is>
          <t>VÄRMLANDS LÄN</t>
        </is>
      </c>
      <c r="G554" t="inlineStr">
        <is>
          <t>EDA</t>
        </is>
      </c>
      <c r="I554" t="n">
        <v>0.7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s="2" t="inlineStr"/>
    </row>
    <row r="555" ht="15" customHeight="1">
      <c r="A555" t="inlineStr">
        <is>
          <t>A 21514-2026</t>
        </is>
      </c>
      <c r="B555" t="inlineStr">
        <is>
          <t>avverkningsanmälan</t>
        </is>
      </c>
      <c r="C555" t="inlineStr">
        <is>
          <t>Föryngringsavverkning</t>
        </is>
      </c>
      <c r="D555" s="1" t="n">
        <v>46148</v>
      </c>
      <c r="E555" s="1" t="n">
        <v>46320</v>
      </c>
      <c r="F555" t="inlineStr">
        <is>
          <t>VÄRMLANDS LÄN</t>
        </is>
      </c>
      <c r="G555" t="inlineStr">
        <is>
          <t>EDA</t>
        </is>
      </c>
      <c r="I555" t="n">
        <v>0.8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s="2" t="inlineStr"/>
    </row>
    <row r="556" ht="15" customHeight="1">
      <c r="A556" t="inlineStr">
        <is>
          <t>A 21519-2026</t>
        </is>
      </c>
      <c r="B556" t="inlineStr">
        <is>
          <t>avverkningsanmälan</t>
        </is>
      </c>
      <c r="C556" t="inlineStr">
        <is>
          <t>Föryngringsavverkning</t>
        </is>
      </c>
      <c r="D556" s="1" t="n">
        <v>46148</v>
      </c>
      <c r="E556" s="1" t="n">
        <v>46320</v>
      </c>
      <c r="F556" t="inlineStr">
        <is>
          <t>VÄRMLANDS LÄN</t>
        </is>
      </c>
      <c r="G556" t="inlineStr">
        <is>
          <t>EDA</t>
        </is>
      </c>
      <c r="I556" t="n">
        <v>4.2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s="2" t="inlineStr"/>
    </row>
    <row r="557" ht="15" customHeight="1">
      <c r="A557" t="inlineStr">
        <is>
          <t>A 21315-2026</t>
        </is>
      </c>
      <c r="B557" t="inlineStr">
        <is>
          <t>avverkningsanmälan</t>
        </is>
      </c>
      <c r="C557" t="inlineStr">
        <is>
          <t>Föryngringsavverkning</t>
        </is>
      </c>
      <c r="D557" s="1" t="n">
        <v>46147</v>
      </c>
      <c r="E557" s="1" t="n">
        <v>46320</v>
      </c>
      <c r="F557" t="inlineStr">
        <is>
          <t>VÄRMLANDS LÄN</t>
        </is>
      </c>
      <c r="G557" t="inlineStr">
        <is>
          <t>EDA</t>
        </is>
      </c>
      <c r="I557" t="n">
        <v>1.1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s="2" t="inlineStr"/>
    </row>
    <row r="558" ht="15" customHeight="1">
      <c r="A558" t="inlineStr">
        <is>
          <t>A 58392-2022</t>
        </is>
      </c>
      <c r="B558" t="inlineStr">
        <is>
          <t>avverkningsanmälan</t>
        </is>
      </c>
      <c r="C558" t="inlineStr">
        <is>
          <t>Föryngringsavverkning</t>
        </is>
      </c>
      <c r="D558" s="1" t="n">
        <v>44901</v>
      </c>
      <c r="E558" s="1" t="n">
        <v>46320</v>
      </c>
      <c r="F558" t="inlineStr">
        <is>
          <t>VÄRMLANDS LÄN</t>
        </is>
      </c>
      <c r="G558" t="inlineStr">
        <is>
          <t>EDA</t>
        </is>
      </c>
      <c r="I558" t="n">
        <v>3.4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s="2" t="inlineStr"/>
    </row>
    <row r="559" ht="15" customHeight="1">
      <c r="A559" t="inlineStr">
        <is>
          <t>A 8942-2022</t>
        </is>
      </c>
      <c r="B559" t="inlineStr">
        <is>
          <t>avverkningsanmälan</t>
        </is>
      </c>
      <c r="C559" t="inlineStr">
        <is>
          <t>Föryngringsavverkning</t>
        </is>
      </c>
      <c r="D559" s="1" t="n">
        <v>44614</v>
      </c>
      <c r="E559" s="1" t="n">
        <v>46320</v>
      </c>
      <c r="F559" t="inlineStr">
        <is>
          <t>VÄRMLANDS LÄN</t>
        </is>
      </c>
      <c r="G559" t="inlineStr">
        <is>
          <t>EDA</t>
        </is>
      </c>
      <c r="I559" t="n">
        <v>2.1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s="2" t="inlineStr"/>
    </row>
    <row r="560" ht="15" customHeight="1">
      <c r="A560" t="inlineStr">
        <is>
          <t>A 21747-2026</t>
        </is>
      </c>
      <c r="B560" t="inlineStr">
        <is>
          <t>avverkningsanmälan</t>
        </is>
      </c>
      <c r="C560" t="inlineStr">
        <is>
          <t>Föryngringsavverkning</t>
        </is>
      </c>
      <c r="D560" s="1" t="n">
        <v>46149</v>
      </c>
      <c r="E560" s="1" t="n">
        <v>46320</v>
      </c>
      <c r="F560" t="inlineStr">
        <is>
          <t>VÄRMLANDS LÄN</t>
        </is>
      </c>
      <c r="G560" t="inlineStr">
        <is>
          <t>EDA</t>
        </is>
      </c>
      <c r="I560" t="n">
        <v>6.8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s="2" t="inlineStr"/>
    </row>
    <row r="561" ht="15" customHeight="1">
      <c r="A561" t="inlineStr">
        <is>
          <t>A 45747-2024</t>
        </is>
      </c>
      <c r="B561" t="inlineStr">
        <is>
          <t>avverkningsanmälan</t>
        </is>
      </c>
      <c r="C561" t="inlineStr">
        <is>
          <t>Föryngringsavverkning</t>
        </is>
      </c>
      <c r="D561" s="1" t="n">
        <v>45579</v>
      </c>
      <c r="E561" s="1" t="n">
        <v>46320</v>
      </c>
      <c r="F561" t="inlineStr">
        <is>
          <t>VÄRMLANDS LÄN</t>
        </is>
      </c>
      <c r="G561" t="inlineStr">
        <is>
          <t>EDA</t>
        </is>
      </c>
      <c r="I561" t="n">
        <v>1.1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s="2" t="inlineStr"/>
    </row>
    <row r="562" ht="15" customHeight="1">
      <c r="A562" t="inlineStr">
        <is>
          <t>A 22183-2026</t>
        </is>
      </c>
      <c r="B562" t="inlineStr">
        <is>
          <t>avverkningsanmälan</t>
        </is>
      </c>
      <c r="C562" t="inlineStr">
        <is>
          <t>Föryngringsavverkning</t>
        </is>
      </c>
      <c r="D562" s="1" t="n">
        <v>46153</v>
      </c>
      <c r="E562" s="1" t="n">
        <v>46320</v>
      </c>
      <c r="F562" t="inlineStr">
        <is>
          <t>VÄRMLANDS LÄN</t>
        </is>
      </c>
      <c r="G562" t="inlineStr">
        <is>
          <t>EDA</t>
        </is>
      </c>
      <c r="H562" t="inlineStr">
        <is>
          <t>Bergvik skog väst AB</t>
        </is>
      </c>
      <c r="I562" t="n">
        <v>4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s="2" t="inlineStr"/>
    </row>
    <row r="563" ht="15" customHeight="1">
      <c r="A563" t="inlineStr">
        <is>
          <t>A 22172-2026</t>
        </is>
      </c>
      <c r="B563" t="inlineStr">
        <is>
          <t>avverkningsanmälan</t>
        </is>
      </c>
      <c r="C563" t="inlineStr">
        <is>
          <t>Föryngringsavverkning</t>
        </is>
      </c>
      <c r="D563" s="1" t="n">
        <v>46153</v>
      </c>
      <c r="E563" s="1" t="n">
        <v>46320</v>
      </c>
      <c r="F563" t="inlineStr">
        <is>
          <t>VÄRMLANDS LÄN</t>
        </is>
      </c>
      <c r="G563" t="inlineStr">
        <is>
          <t>EDA</t>
        </is>
      </c>
      <c r="H563" t="inlineStr">
        <is>
          <t>Bergvik skog väst AB</t>
        </is>
      </c>
      <c r="I563" t="n">
        <v>18.7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s="2" t="inlineStr"/>
    </row>
    <row r="564" ht="15" customHeight="1">
      <c r="A564" t="inlineStr">
        <is>
          <t>A 22245-2026</t>
        </is>
      </c>
      <c r="B564" t="inlineStr">
        <is>
          <t>avverkningsanmälan</t>
        </is>
      </c>
      <c r="C564" t="inlineStr">
        <is>
          <t>Föryngringsavverkning</t>
        </is>
      </c>
      <c r="D564" s="1" t="n">
        <v>46154</v>
      </c>
      <c r="E564" s="1" t="n">
        <v>46320</v>
      </c>
      <c r="F564" t="inlineStr">
        <is>
          <t>VÄRMLANDS LÄN</t>
        </is>
      </c>
      <c r="G564" t="inlineStr">
        <is>
          <t>EDA</t>
        </is>
      </c>
      <c r="I564" t="n">
        <v>2.2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s="2" t="inlineStr"/>
    </row>
    <row r="565" ht="15" customHeight="1">
      <c r="A565" t="inlineStr">
        <is>
          <t>A 28085-2022</t>
        </is>
      </c>
      <c r="B565" t="inlineStr">
        <is>
          <t>avverkningsanmälan</t>
        </is>
      </c>
      <c r="C565" t="inlineStr">
        <is>
          <t>Föryngringsavverkning</t>
        </is>
      </c>
      <c r="D565" s="1" t="n">
        <v>44746</v>
      </c>
      <c r="E565" s="1" t="n">
        <v>46320</v>
      </c>
      <c r="F565" t="inlineStr">
        <is>
          <t>VÄRMLANDS LÄN</t>
        </is>
      </c>
      <c r="G565" t="inlineStr">
        <is>
          <t>EDA</t>
        </is>
      </c>
      <c r="I565" t="n">
        <v>1.7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s="2" t="inlineStr"/>
    </row>
    <row r="566" ht="15" customHeight="1">
      <c r="A566" t="inlineStr">
        <is>
          <t>A 22243-2026</t>
        </is>
      </c>
      <c r="B566" t="inlineStr">
        <is>
          <t>avverkningsanmälan</t>
        </is>
      </c>
      <c r="C566" t="inlineStr">
        <is>
          <t>Föryngringsavverkning</t>
        </is>
      </c>
      <c r="D566" s="1" t="n">
        <v>46154</v>
      </c>
      <c r="E566" s="1" t="n">
        <v>46320</v>
      </c>
      <c r="F566" t="inlineStr">
        <is>
          <t>VÄRMLANDS LÄN</t>
        </is>
      </c>
      <c r="G566" t="inlineStr">
        <is>
          <t>EDA</t>
        </is>
      </c>
      <c r="H566" t="inlineStr">
        <is>
          <t>Bergvik skog väst AB</t>
        </is>
      </c>
      <c r="I566" t="n">
        <v>1.2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s="2" t="inlineStr"/>
    </row>
    <row r="567" ht="15" customHeight="1">
      <c r="A567" t="inlineStr">
        <is>
          <t>A 31726-2025</t>
        </is>
      </c>
      <c r="B567" t="inlineStr">
        <is>
          <t>avverkningsanmälan</t>
        </is>
      </c>
      <c r="C567" t="inlineStr">
        <is>
          <t>Föryngringsavverkning</t>
        </is>
      </c>
      <c r="D567" s="1" t="n">
        <v>45834</v>
      </c>
      <c r="E567" s="1" t="n">
        <v>46320</v>
      </c>
      <c r="F567" t="inlineStr">
        <is>
          <t>VÄRMLANDS LÄN</t>
        </is>
      </c>
      <c r="G567" t="inlineStr">
        <is>
          <t>EDA</t>
        </is>
      </c>
      <c r="I567" t="n">
        <v>1.5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s="2" t="inlineStr"/>
    </row>
    <row r="568" ht="15" customHeight="1">
      <c r="A568" t="inlineStr">
        <is>
          <t>A 15641-2023</t>
        </is>
      </c>
      <c r="B568" t="inlineStr">
        <is>
          <t>avverkningsanmälan</t>
        </is>
      </c>
      <c r="C568" t="inlineStr">
        <is>
          <t>Föryngringsavverkning</t>
        </is>
      </c>
      <c r="D568" s="1" t="n">
        <v>45021</v>
      </c>
      <c r="E568" s="1" t="n">
        <v>46320</v>
      </c>
      <c r="F568" t="inlineStr">
        <is>
          <t>VÄRMLANDS LÄN</t>
        </is>
      </c>
      <c r="G568" t="inlineStr">
        <is>
          <t>EDA</t>
        </is>
      </c>
      <c r="H568" t="inlineStr">
        <is>
          <t>Övriga statliga verk och myndigheter</t>
        </is>
      </c>
      <c r="I568" t="n">
        <v>2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s="2" t="inlineStr"/>
    </row>
    <row r="569" ht="15" customHeight="1">
      <c r="A569" t="inlineStr">
        <is>
          <t>A 24756-2023</t>
        </is>
      </c>
      <c r="B569" t="inlineStr">
        <is>
          <t>avverkningsanmälan</t>
        </is>
      </c>
      <c r="C569" t="inlineStr">
        <is>
          <t>Föryngringsavverkning</t>
        </is>
      </c>
      <c r="D569" s="1" t="n">
        <v>45084</v>
      </c>
      <c r="E569" s="1" t="n">
        <v>46320</v>
      </c>
      <c r="F569" t="inlineStr">
        <is>
          <t>VÄRMLANDS LÄN</t>
        </is>
      </c>
      <c r="G569" t="inlineStr">
        <is>
          <t>EDA</t>
        </is>
      </c>
      <c r="I569" t="n">
        <v>2.3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s="2" t="inlineStr"/>
    </row>
    <row r="570" ht="15" customHeight="1">
      <c r="A570" t="inlineStr">
        <is>
          <t>A 20611-2022</t>
        </is>
      </c>
      <c r="B570" t="inlineStr">
        <is>
          <t>avverkningsanmälan</t>
        </is>
      </c>
      <c r="C570" t="inlineStr">
        <is>
          <t>Föryngringsavverkning</t>
        </is>
      </c>
      <c r="D570" s="1" t="n">
        <v>44700</v>
      </c>
      <c r="E570" s="1" t="n">
        <v>46320</v>
      </c>
      <c r="F570" t="inlineStr">
        <is>
          <t>VÄRMLANDS LÄN</t>
        </is>
      </c>
      <c r="G570" t="inlineStr">
        <is>
          <t>EDA</t>
        </is>
      </c>
      <c r="H570" t="inlineStr">
        <is>
          <t>Kommuner</t>
        </is>
      </c>
      <c r="I570" t="n">
        <v>1.5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s="2" t="inlineStr"/>
    </row>
    <row r="571" ht="15" customHeight="1">
      <c r="A571" t="inlineStr">
        <is>
          <t>A 42229-2025</t>
        </is>
      </c>
      <c r="B571" t="inlineStr">
        <is>
          <t>avverkningsanmälan</t>
        </is>
      </c>
      <c r="C571" t="inlineStr">
        <is>
          <t>Föryngringsavverkning</t>
        </is>
      </c>
      <c r="D571" s="1" t="n">
        <v>45904</v>
      </c>
      <c r="E571" s="1" t="n">
        <v>46320</v>
      </c>
      <c r="F571" t="inlineStr">
        <is>
          <t>VÄRMLANDS LÄN</t>
        </is>
      </c>
      <c r="G571" t="inlineStr">
        <is>
          <t>EDA</t>
        </is>
      </c>
      <c r="I571" t="n">
        <v>2.1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s="2" t="inlineStr"/>
    </row>
    <row r="572" ht="15" customHeight="1">
      <c r="A572" t="inlineStr">
        <is>
          <t>A 50120-2024</t>
        </is>
      </c>
      <c r="B572" t="inlineStr">
        <is>
          <t>avverkningsanmälan</t>
        </is>
      </c>
      <c r="C572" t="inlineStr">
        <is>
          <t>Föryngringsavverkning</t>
        </is>
      </c>
      <c r="D572" s="1" t="n">
        <v>45600</v>
      </c>
      <c r="E572" s="1" t="n">
        <v>46320</v>
      </c>
      <c r="F572" t="inlineStr">
        <is>
          <t>VÄRMLANDS LÄN</t>
        </is>
      </c>
      <c r="G572" t="inlineStr">
        <is>
          <t>EDA</t>
        </is>
      </c>
      <c r="I572" t="n">
        <v>3.2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s="2" t="inlineStr"/>
    </row>
    <row r="573" ht="15" customHeight="1">
      <c r="A573" t="inlineStr">
        <is>
          <t>A 45556-2024</t>
        </is>
      </c>
      <c r="B573" t="inlineStr">
        <is>
          <t>avverkningsanmälan</t>
        </is>
      </c>
      <c r="C573" t="inlineStr">
        <is>
          <t>Föryngringsavverkning</t>
        </is>
      </c>
      <c r="D573" s="1" t="n">
        <v>45579</v>
      </c>
      <c r="E573" s="1" t="n">
        <v>46320</v>
      </c>
      <c r="F573" t="inlineStr">
        <is>
          <t>VÄRMLANDS LÄN</t>
        </is>
      </c>
      <c r="G573" t="inlineStr">
        <is>
          <t>EDA</t>
        </is>
      </c>
      <c r="I573" t="n">
        <v>1.2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s="2" t="inlineStr"/>
    </row>
    <row r="574" ht="15" customHeight="1">
      <c r="A574" t="inlineStr">
        <is>
          <t>A 20052-2024</t>
        </is>
      </c>
      <c r="B574" t="inlineStr">
        <is>
          <t>avverkningsanmälan</t>
        </is>
      </c>
      <c r="C574" t="inlineStr">
        <is>
          <t>Föryngringsavverkning</t>
        </is>
      </c>
      <c r="D574" s="1" t="n">
        <v>45434</v>
      </c>
      <c r="E574" s="1" t="n">
        <v>46320</v>
      </c>
      <c r="F574" t="inlineStr">
        <is>
          <t>VÄRMLANDS LÄN</t>
        </is>
      </c>
      <c r="G574" t="inlineStr">
        <is>
          <t>EDA</t>
        </is>
      </c>
      <c r="I574" t="n">
        <v>3.8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s="2" t="inlineStr"/>
    </row>
    <row r="575" ht="15" customHeight="1">
      <c r="A575" t="inlineStr">
        <is>
          <t>A 17780-2023</t>
        </is>
      </c>
      <c r="B575" t="inlineStr">
        <is>
          <t>avverkningsanmälan</t>
        </is>
      </c>
      <c r="C575" t="inlineStr">
        <is>
          <t>Föryngringsavverkning</t>
        </is>
      </c>
      <c r="D575" s="1" t="n">
        <v>45037</v>
      </c>
      <c r="E575" s="1" t="n">
        <v>46320</v>
      </c>
      <c r="F575" t="inlineStr">
        <is>
          <t>VÄRMLANDS LÄN</t>
        </is>
      </c>
      <c r="G575" t="inlineStr">
        <is>
          <t>EDA</t>
        </is>
      </c>
      <c r="I575" t="n">
        <v>1.5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s="2" t="inlineStr"/>
    </row>
    <row r="576" ht="15" customHeight="1">
      <c r="A576" t="inlineStr">
        <is>
          <t>A 51144-2024</t>
        </is>
      </c>
      <c r="B576" t="inlineStr">
        <is>
          <t>avverkningsanmälan</t>
        </is>
      </c>
      <c r="C576" t="inlineStr">
        <is>
          <t>Föryngringsavverkning</t>
        </is>
      </c>
      <c r="D576" s="1" t="n">
        <v>45603</v>
      </c>
      <c r="E576" s="1" t="n">
        <v>46320</v>
      </c>
      <c r="F576" t="inlineStr">
        <is>
          <t>VÄRMLANDS LÄN</t>
        </is>
      </c>
      <c r="G576" t="inlineStr">
        <is>
          <t>EDA</t>
        </is>
      </c>
      <c r="I576" t="n">
        <v>2.5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s="2" t="inlineStr"/>
    </row>
    <row r="577" ht="15" customHeight="1">
      <c r="A577" t="inlineStr">
        <is>
          <t>A 52327-2024</t>
        </is>
      </c>
      <c r="B577" t="inlineStr">
        <is>
          <t>avverkningsanmälan</t>
        </is>
      </c>
      <c r="C577" t="inlineStr">
        <is>
          <t>Föryngringsavverkning</t>
        </is>
      </c>
      <c r="D577" s="1" t="n">
        <v>45609</v>
      </c>
      <c r="E577" s="1" t="n">
        <v>46320</v>
      </c>
      <c r="F577" t="inlineStr">
        <is>
          <t>VÄRMLANDS LÄN</t>
        </is>
      </c>
      <c r="G577" t="inlineStr">
        <is>
          <t>EDA</t>
        </is>
      </c>
      <c r="I577" t="n">
        <v>0.7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s="2" t="inlineStr"/>
    </row>
    <row r="578" ht="15" customHeight="1">
      <c r="A578" t="inlineStr">
        <is>
          <t>A 63613-2023</t>
        </is>
      </c>
      <c r="B578" t="inlineStr">
        <is>
          <t>avverkningsanmälan</t>
        </is>
      </c>
      <c r="C578" t="inlineStr">
        <is>
          <t>Föryngringsavverkning</t>
        </is>
      </c>
      <c r="D578" s="1" t="n">
        <v>45275</v>
      </c>
      <c r="E578" s="1" t="n">
        <v>46320</v>
      </c>
      <c r="F578" t="inlineStr">
        <is>
          <t>VÄRMLANDS LÄN</t>
        </is>
      </c>
      <c r="G578" t="inlineStr">
        <is>
          <t>EDA</t>
        </is>
      </c>
      <c r="I578" t="n">
        <v>2.1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s="2" t="inlineStr"/>
    </row>
    <row r="579" ht="15" customHeight="1">
      <c r="A579" t="inlineStr">
        <is>
          <t>A 59515-2024</t>
        </is>
      </c>
      <c r="B579" t="inlineStr">
        <is>
          <t>avverkningsanmälan</t>
        </is>
      </c>
      <c r="C579" t="inlineStr">
        <is>
          <t>Föryngringsavverkning</t>
        </is>
      </c>
      <c r="D579" s="1" t="n">
        <v>45638</v>
      </c>
      <c r="E579" s="1" t="n">
        <v>46320</v>
      </c>
      <c r="F579" t="inlineStr">
        <is>
          <t>VÄRMLANDS LÄN</t>
        </is>
      </c>
      <c r="G579" t="inlineStr">
        <is>
          <t>EDA</t>
        </is>
      </c>
      <c r="I579" t="n">
        <v>5.5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s="2" t="inlineStr"/>
    </row>
    <row r="580" ht="15" customHeight="1">
      <c r="A580" t="inlineStr">
        <is>
          <t>A 7282-2023</t>
        </is>
      </c>
      <c r="B580" t="inlineStr">
        <is>
          <t>avverkningsanmälan</t>
        </is>
      </c>
      <c r="C580" t="inlineStr">
        <is>
          <t>Föryngringsavverkning</t>
        </is>
      </c>
      <c r="D580" s="1" t="n">
        <v>44970</v>
      </c>
      <c r="E580" s="1" t="n">
        <v>46320</v>
      </c>
      <c r="F580" t="inlineStr">
        <is>
          <t>VÄRMLANDS LÄN</t>
        </is>
      </c>
      <c r="G580" t="inlineStr">
        <is>
          <t>EDA</t>
        </is>
      </c>
      <c r="I580" t="n">
        <v>2.6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s="2" t="inlineStr"/>
    </row>
    <row r="581" ht="15" customHeight="1">
      <c r="A581" t="inlineStr">
        <is>
          <t>A 39172-2023</t>
        </is>
      </c>
      <c r="B581" t="inlineStr">
        <is>
          <t>avverkningsanmälan</t>
        </is>
      </c>
      <c r="C581" t="inlineStr">
        <is>
          <t>Föryngringsavverkning</t>
        </is>
      </c>
      <c r="D581" s="1" t="n">
        <v>45166</v>
      </c>
      <c r="E581" s="1" t="n">
        <v>46320</v>
      </c>
      <c r="F581" t="inlineStr">
        <is>
          <t>VÄRMLANDS LÄN</t>
        </is>
      </c>
      <c r="G581" t="inlineStr">
        <is>
          <t>EDA</t>
        </is>
      </c>
      <c r="I581" t="n">
        <v>1.1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s="2" t="inlineStr"/>
    </row>
    <row r="582" ht="15" customHeight="1">
      <c r="A582" t="inlineStr">
        <is>
          <t>A 22721-2022</t>
        </is>
      </c>
      <c r="B582" t="inlineStr">
        <is>
          <t>avverkningsanmälan</t>
        </is>
      </c>
      <c r="C582" t="inlineStr">
        <is>
          <t>Föryngringsavverkning</t>
        </is>
      </c>
      <c r="D582" s="1" t="n">
        <v>44714</v>
      </c>
      <c r="E582" s="1" t="n">
        <v>46320</v>
      </c>
      <c r="F582" t="inlineStr">
        <is>
          <t>VÄRMLANDS LÄN</t>
        </is>
      </c>
      <c r="G582" t="inlineStr">
        <is>
          <t>EDA</t>
        </is>
      </c>
      <c r="I582" t="n">
        <v>1.5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s="2" t="inlineStr"/>
    </row>
    <row r="583" ht="15" customHeight="1">
      <c r="A583" t="inlineStr">
        <is>
          <t>A 54481-2024</t>
        </is>
      </c>
      <c r="B583" t="inlineStr">
        <is>
          <t>avverkningsanmälan</t>
        </is>
      </c>
      <c r="C583" t="inlineStr">
        <is>
          <t>Föryngringsavverkning</t>
        </is>
      </c>
      <c r="D583" s="1" t="n">
        <v>45617</v>
      </c>
      <c r="E583" s="1" t="n">
        <v>46320</v>
      </c>
      <c r="F583" t="inlineStr">
        <is>
          <t>VÄRMLANDS LÄN</t>
        </is>
      </c>
      <c r="G583" t="inlineStr">
        <is>
          <t>EDA</t>
        </is>
      </c>
      <c r="I583" t="n">
        <v>0.9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s="2" t="inlineStr"/>
    </row>
    <row r="584" ht="15" customHeight="1">
      <c r="A584" t="inlineStr">
        <is>
          <t>A 20495-2024</t>
        </is>
      </c>
      <c r="B584" t="inlineStr">
        <is>
          <t>avverkningsanmälan</t>
        </is>
      </c>
      <c r="C584" t="inlineStr">
        <is>
          <t>Avverkning för annat ändamål</t>
        </is>
      </c>
      <c r="D584" s="1" t="n">
        <v>45435</v>
      </c>
      <c r="E584" s="1" t="n">
        <v>46320</v>
      </c>
      <c r="F584" t="inlineStr">
        <is>
          <t>VÄRMLANDS LÄN</t>
        </is>
      </c>
      <c r="G584" t="inlineStr">
        <is>
          <t>EDA</t>
        </is>
      </c>
      <c r="I584" t="n">
        <v>1.2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s="2" t="inlineStr"/>
    </row>
    <row r="585" ht="15" customHeight="1">
      <c r="A585" t="inlineStr">
        <is>
          <t>A 12111-2023</t>
        </is>
      </c>
      <c r="B585" t="inlineStr">
        <is>
          <t>avverkningsanmälan</t>
        </is>
      </c>
      <c r="C585" t="inlineStr">
        <is>
          <t>Föryngringsavverkning</t>
        </is>
      </c>
      <c r="D585" s="1" t="n">
        <v>44998</v>
      </c>
      <c r="E585" s="1" t="n">
        <v>46320</v>
      </c>
      <c r="F585" t="inlineStr">
        <is>
          <t>VÄRMLANDS LÄN</t>
        </is>
      </c>
      <c r="G585" t="inlineStr">
        <is>
          <t>EDA</t>
        </is>
      </c>
      <c r="I585" t="n">
        <v>13.6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s="2" t="inlineStr"/>
    </row>
    <row r="586" ht="15" customHeight="1">
      <c r="A586" t="inlineStr">
        <is>
          <t>A 67162-2021</t>
        </is>
      </c>
      <c r="B586" t="inlineStr">
        <is>
          <t>avverkningsanmälan</t>
        </is>
      </c>
      <c r="C586" t="inlineStr">
        <is>
          <t>Föryngringsavverkning</t>
        </is>
      </c>
      <c r="D586" s="1" t="n">
        <v>44523</v>
      </c>
      <c r="E586" s="1" t="n">
        <v>46320</v>
      </c>
      <c r="F586" t="inlineStr">
        <is>
          <t>VÄRMLANDS LÄN</t>
        </is>
      </c>
      <c r="G586" t="inlineStr">
        <is>
          <t>EDA</t>
        </is>
      </c>
      <c r="I586" t="n">
        <v>4.7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s="2" t="inlineStr"/>
    </row>
    <row r="587" ht="15" customHeight="1">
      <c r="A587" t="inlineStr">
        <is>
          <t>A 53416-2024</t>
        </is>
      </c>
      <c r="B587" t="inlineStr">
        <is>
          <t>avverkningsanmälan</t>
        </is>
      </c>
      <c r="C587" t="inlineStr">
        <is>
          <t>Föryngringsavverkning</t>
        </is>
      </c>
      <c r="D587" s="1" t="n">
        <v>45614</v>
      </c>
      <c r="E587" s="1" t="n">
        <v>46320</v>
      </c>
      <c r="F587" t="inlineStr">
        <is>
          <t>VÄRMLANDS LÄN</t>
        </is>
      </c>
      <c r="G587" t="inlineStr">
        <is>
          <t>EDA</t>
        </is>
      </c>
      <c r="I587" t="n">
        <v>1.5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s="2" t="inlineStr"/>
    </row>
    <row r="588" ht="15" customHeight="1">
      <c r="A588" t="inlineStr">
        <is>
          <t>A 62324-2023</t>
        </is>
      </c>
      <c r="B588" t="inlineStr">
        <is>
          <t>avverkningsanmälan</t>
        </is>
      </c>
      <c r="C588" t="inlineStr">
        <is>
          <t>Föryngringsavverkning</t>
        </is>
      </c>
      <c r="D588" s="1" t="n">
        <v>45267</v>
      </c>
      <c r="E588" s="1" t="n">
        <v>46320</v>
      </c>
      <c r="F588" t="inlineStr">
        <is>
          <t>VÄRMLANDS LÄN</t>
        </is>
      </c>
      <c r="G588" t="inlineStr">
        <is>
          <t>EDA</t>
        </is>
      </c>
      <c r="I588" t="n">
        <v>1.7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s="2" t="inlineStr"/>
    </row>
    <row r="589" ht="15" customHeight="1">
      <c r="A589" t="inlineStr">
        <is>
          <t>A 61413-2024</t>
        </is>
      </c>
      <c r="B589" t="inlineStr">
        <is>
          <t>avverkningsanmälan</t>
        </is>
      </c>
      <c r="C589" t="inlineStr">
        <is>
          <t>Föryngringsavverkning</t>
        </is>
      </c>
      <c r="D589" s="1" t="n">
        <v>45646</v>
      </c>
      <c r="E589" s="1" t="n">
        <v>46320</v>
      </c>
      <c r="F589" t="inlineStr">
        <is>
          <t>VÄRMLANDS LÄN</t>
        </is>
      </c>
      <c r="G589" t="inlineStr">
        <is>
          <t>EDA</t>
        </is>
      </c>
      <c r="I589" t="n">
        <v>4.8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s="2" t="inlineStr"/>
    </row>
    <row r="590" ht="15" customHeight="1">
      <c r="A590" t="inlineStr">
        <is>
          <t>A 57293-2024</t>
        </is>
      </c>
      <c r="B590" t="inlineStr">
        <is>
          <t>avverkningsanmälan</t>
        </is>
      </c>
      <c r="C590" t="inlineStr">
        <is>
          <t>Föryngringsavverkning</t>
        </is>
      </c>
      <c r="D590" s="1" t="n">
        <v>45629</v>
      </c>
      <c r="E590" s="1" t="n">
        <v>46320</v>
      </c>
      <c r="F590" t="inlineStr">
        <is>
          <t>VÄRMLANDS LÄN</t>
        </is>
      </c>
      <c r="G590" t="inlineStr">
        <is>
          <t>EDA</t>
        </is>
      </c>
      <c r="I590" t="n">
        <v>0.9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s="2" t="inlineStr"/>
    </row>
    <row r="591" ht="15" customHeight="1">
      <c r="A591" t="inlineStr">
        <is>
          <t>A 53639-2024</t>
        </is>
      </c>
      <c r="B591" t="inlineStr">
        <is>
          <t>avverkningsanmälan</t>
        </is>
      </c>
      <c r="C591" t="inlineStr">
        <is>
          <t>Föryngringsavverkning</t>
        </is>
      </c>
      <c r="D591" s="1" t="n">
        <v>45614</v>
      </c>
      <c r="E591" s="1" t="n">
        <v>46320</v>
      </c>
      <c r="F591" t="inlineStr">
        <is>
          <t>VÄRMLANDS LÄN</t>
        </is>
      </c>
      <c r="G591" t="inlineStr">
        <is>
          <t>EDA</t>
        </is>
      </c>
      <c r="I591" t="n">
        <v>0.9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s="2" t="inlineStr"/>
    </row>
    <row r="592" ht="15" customHeight="1">
      <c r="A592" t="inlineStr">
        <is>
          <t>A 16065-2022</t>
        </is>
      </c>
      <c r="B592" t="inlineStr">
        <is>
          <t>avverkningsanmälan</t>
        </is>
      </c>
      <c r="C592" t="inlineStr">
        <is>
          <t>Föryngringsavverkning</t>
        </is>
      </c>
      <c r="D592" s="1" t="n">
        <v>44665</v>
      </c>
      <c r="E592" s="1" t="n">
        <v>46320</v>
      </c>
      <c r="F592" t="inlineStr">
        <is>
          <t>VÄRMLANDS LÄN</t>
        </is>
      </c>
      <c r="G592" t="inlineStr">
        <is>
          <t>EDA</t>
        </is>
      </c>
      <c r="I592" t="n">
        <v>1.2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s="2" t="inlineStr"/>
    </row>
    <row r="593" ht="15" customHeight="1">
      <c r="A593" t="inlineStr">
        <is>
          <t>A 8966-2023</t>
        </is>
      </c>
      <c r="B593" t="inlineStr">
        <is>
          <t>avverkningsanmälan</t>
        </is>
      </c>
      <c r="C593" t="inlineStr">
        <is>
          <t>Föryngringsavverkning</t>
        </is>
      </c>
      <c r="D593" s="1" t="n">
        <v>44979</v>
      </c>
      <c r="E593" s="1" t="n">
        <v>46320</v>
      </c>
      <c r="F593" t="inlineStr">
        <is>
          <t>VÄRMLANDS LÄN</t>
        </is>
      </c>
      <c r="G593" t="inlineStr">
        <is>
          <t>EDA</t>
        </is>
      </c>
      <c r="I593" t="n">
        <v>0.7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s="2" t="inlineStr"/>
    </row>
    <row r="594" ht="15" customHeight="1">
      <c r="A594" t="inlineStr">
        <is>
          <t>A 12716-2025</t>
        </is>
      </c>
      <c r="B594" t="inlineStr">
        <is>
          <t>avverkningsanmälan</t>
        </is>
      </c>
      <c r="C594" t="inlineStr">
        <is>
          <t>Föryngringsavverkning</t>
        </is>
      </c>
      <c r="D594" s="1" t="n">
        <v>45733</v>
      </c>
      <c r="E594" s="1" t="n">
        <v>46320</v>
      </c>
      <c r="F594" t="inlineStr">
        <is>
          <t>VÄRMLANDS LÄN</t>
        </is>
      </c>
      <c r="G594" t="inlineStr">
        <is>
          <t>EDA</t>
        </is>
      </c>
      <c r="I594" t="n">
        <v>0.8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s="2" t="inlineStr"/>
    </row>
    <row r="595" ht="15" customHeight="1">
      <c r="A595" t="inlineStr">
        <is>
          <t>A 43442-2023</t>
        </is>
      </c>
      <c r="B595" t="inlineStr">
        <is>
          <t>avverkningsanmälan</t>
        </is>
      </c>
      <c r="C595" t="inlineStr">
        <is>
          <t>Föryngringsavverkning</t>
        </is>
      </c>
      <c r="D595" s="1" t="n">
        <v>45184</v>
      </c>
      <c r="E595" s="1" t="n">
        <v>46320</v>
      </c>
      <c r="F595" t="inlineStr">
        <is>
          <t>VÄRMLANDS LÄN</t>
        </is>
      </c>
      <c r="G595" t="inlineStr">
        <is>
          <t>EDA</t>
        </is>
      </c>
      <c r="I595" t="n">
        <v>0.9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s="2" t="inlineStr"/>
    </row>
    <row r="596" ht="15" customHeight="1">
      <c r="A596" t="inlineStr">
        <is>
          <t>A 44006-2023</t>
        </is>
      </c>
      <c r="B596" t="inlineStr">
        <is>
          <t>avverkningsanmälan</t>
        </is>
      </c>
      <c r="C596" t="inlineStr">
        <is>
          <t>Föryngringsavverkning</t>
        </is>
      </c>
      <c r="D596" s="1" t="n">
        <v>45188</v>
      </c>
      <c r="E596" s="1" t="n">
        <v>46320</v>
      </c>
      <c r="F596" t="inlineStr">
        <is>
          <t>VÄRMLANDS LÄN</t>
        </is>
      </c>
      <c r="G596" t="inlineStr">
        <is>
          <t>EDA</t>
        </is>
      </c>
      <c r="I596" t="n">
        <v>1.1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s="2" t="inlineStr"/>
    </row>
    <row r="597" ht="15" customHeight="1">
      <c r="A597" t="inlineStr">
        <is>
          <t>A 18076-2023</t>
        </is>
      </c>
      <c r="B597" t="inlineStr">
        <is>
          <t>avverkningsanmälan</t>
        </is>
      </c>
      <c r="C597" t="inlineStr">
        <is>
          <t>Avverkning för annat ändamål</t>
        </is>
      </c>
      <c r="D597" s="1" t="n">
        <v>45040</v>
      </c>
      <c r="E597" s="1" t="n">
        <v>46320</v>
      </c>
      <c r="F597" t="inlineStr">
        <is>
          <t>VÄRMLANDS LÄN</t>
        </is>
      </c>
      <c r="G597" t="inlineStr">
        <is>
          <t>EDA</t>
        </is>
      </c>
      <c r="I597" t="n">
        <v>1.4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s="2" t="inlineStr"/>
    </row>
    <row r="598" ht="15" customHeight="1">
      <c r="A598" t="inlineStr">
        <is>
          <t>A 44189-2022</t>
        </is>
      </c>
      <c r="B598" t="inlineStr">
        <is>
          <t>avverkningsanmälan</t>
        </is>
      </c>
      <c r="C598" t="inlineStr">
        <is>
          <t>Föryngringsavverkning</t>
        </is>
      </c>
      <c r="D598" s="1" t="n">
        <v>44839</v>
      </c>
      <c r="E598" s="1" t="n">
        <v>46320</v>
      </c>
      <c r="F598" t="inlineStr">
        <is>
          <t>VÄRMLANDS LÄN</t>
        </is>
      </c>
      <c r="G598" t="inlineStr">
        <is>
          <t>EDA</t>
        </is>
      </c>
      <c r="I598" t="n">
        <v>1.7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s="2" t="inlineStr"/>
    </row>
    <row r="599" ht="15" customHeight="1">
      <c r="A599" t="inlineStr">
        <is>
          <t>A 52338-2023</t>
        </is>
      </c>
      <c r="B599" t="inlineStr">
        <is>
          <t>avverkningsanmälan</t>
        </is>
      </c>
      <c r="C599" t="inlineStr">
        <is>
          <t>Avverkning för annat ändamål</t>
        </is>
      </c>
      <c r="D599" s="1" t="n">
        <v>45224</v>
      </c>
      <c r="E599" s="1" t="n">
        <v>46320</v>
      </c>
      <c r="F599" t="inlineStr">
        <is>
          <t>VÄRMLANDS LÄN</t>
        </is>
      </c>
      <c r="G599" t="inlineStr">
        <is>
          <t>EDA</t>
        </is>
      </c>
      <c r="H599" t="inlineStr">
        <is>
          <t>Bergvik skog väst AB</t>
        </is>
      </c>
      <c r="I599" t="n">
        <v>0.8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s="2" t="inlineStr"/>
    </row>
    <row r="600" ht="15" customHeight="1">
      <c r="A600" t="inlineStr">
        <is>
          <t>A 52187-2023</t>
        </is>
      </c>
      <c r="B600" t="inlineStr">
        <is>
          <t>avverkningsanmälan</t>
        </is>
      </c>
      <c r="C600" t="inlineStr">
        <is>
          <t>Föryngringsavverkning</t>
        </is>
      </c>
      <c r="D600" s="1" t="n">
        <v>45224</v>
      </c>
      <c r="E600" s="1" t="n">
        <v>46320</v>
      </c>
      <c r="F600" t="inlineStr">
        <is>
          <t>VÄRMLANDS LÄN</t>
        </is>
      </c>
      <c r="G600" t="inlineStr">
        <is>
          <t>EDA</t>
        </is>
      </c>
      <c r="I600" t="n">
        <v>1.5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s="2" t="inlineStr"/>
    </row>
    <row r="601" ht="15" customHeight="1">
      <c r="A601" t="inlineStr">
        <is>
          <t>A 13765-2025</t>
        </is>
      </c>
      <c r="B601" t="inlineStr">
        <is>
          <t>avverkningsanmälan</t>
        </is>
      </c>
      <c r="C601" t="inlineStr">
        <is>
          <t>Föryngringsavverkning</t>
        </is>
      </c>
      <c r="D601" s="1" t="n">
        <v>45737</v>
      </c>
      <c r="E601" s="1" t="n">
        <v>46320</v>
      </c>
      <c r="F601" t="inlineStr">
        <is>
          <t>VÄRMLANDS LÄN</t>
        </is>
      </c>
      <c r="G601" t="inlineStr">
        <is>
          <t>EDA</t>
        </is>
      </c>
      <c r="I601" t="n">
        <v>0.6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s="2" t="inlineStr"/>
    </row>
    <row r="602" ht="15" customHeight="1">
      <c r="A602" t="inlineStr">
        <is>
          <t>A 46297-2023</t>
        </is>
      </c>
      <c r="B602" t="inlineStr">
        <is>
          <t>avverkningsanmälan</t>
        </is>
      </c>
      <c r="C602" t="inlineStr">
        <is>
          <t>Föryngringsavverkning</t>
        </is>
      </c>
      <c r="D602" s="1" t="n">
        <v>45197</v>
      </c>
      <c r="E602" s="1" t="n">
        <v>46320</v>
      </c>
      <c r="F602" t="inlineStr">
        <is>
          <t>VÄRMLANDS LÄN</t>
        </is>
      </c>
      <c r="G602" t="inlineStr">
        <is>
          <t>EDA</t>
        </is>
      </c>
      <c r="I602" t="n">
        <v>2.4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s="2" t="inlineStr"/>
    </row>
    <row r="603" ht="15" customHeight="1">
      <c r="A603" t="inlineStr">
        <is>
          <t>A 57121-2023</t>
        </is>
      </c>
      <c r="B603" t="inlineStr">
        <is>
          <t>avverkningsanmälan</t>
        </is>
      </c>
      <c r="C603" t="inlineStr">
        <is>
          <t>Föryngringsavverkning</t>
        </is>
      </c>
      <c r="D603" s="1" t="n">
        <v>45245</v>
      </c>
      <c r="E603" s="1" t="n">
        <v>46320</v>
      </c>
      <c r="F603" t="inlineStr">
        <is>
          <t>VÄRMLANDS LÄN</t>
        </is>
      </c>
      <c r="G603" t="inlineStr">
        <is>
          <t>EDA</t>
        </is>
      </c>
      <c r="H603" t="inlineStr">
        <is>
          <t>Övriga Aktiebolag</t>
        </is>
      </c>
      <c r="I603" t="n">
        <v>1.8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s="2" t="inlineStr"/>
    </row>
    <row r="604" ht="15" customHeight="1">
      <c r="A604" t="inlineStr">
        <is>
          <t>A 40920-2023</t>
        </is>
      </c>
      <c r="B604" t="inlineStr">
        <is>
          <t>avverkningsanmälan</t>
        </is>
      </c>
      <c r="C604" t="inlineStr">
        <is>
          <t>Föryngringsavverkning</t>
        </is>
      </c>
      <c r="D604" s="1" t="n">
        <v>45173</v>
      </c>
      <c r="E604" s="1" t="n">
        <v>46320</v>
      </c>
      <c r="F604" t="inlineStr">
        <is>
          <t>VÄRMLANDS LÄN</t>
        </is>
      </c>
      <c r="G604" t="inlineStr">
        <is>
          <t>EDA</t>
        </is>
      </c>
      <c r="I604" t="n">
        <v>2.9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s="2" t="inlineStr"/>
    </row>
    <row r="605" ht="15" customHeight="1">
      <c r="A605" t="inlineStr">
        <is>
          <t>A 33920-2022</t>
        </is>
      </c>
      <c r="B605" t="inlineStr">
        <is>
          <t>avverkningsanmälan</t>
        </is>
      </c>
      <c r="C605" t="inlineStr">
        <is>
          <t>Föryngringsavverkning</t>
        </is>
      </c>
      <c r="D605" s="1" t="n">
        <v>44790</v>
      </c>
      <c r="E605" s="1" t="n">
        <v>46320</v>
      </c>
      <c r="F605" t="inlineStr">
        <is>
          <t>VÄRMLANDS LÄN</t>
        </is>
      </c>
      <c r="G605" t="inlineStr">
        <is>
          <t>EDA</t>
        </is>
      </c>
      <c r="I605" t="n">
        <v>9.800000000000001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s="2" t="inlineStr"/>
    </row>
    <row r="606" ht="15" customHeight="1">
      <c r="A606" t="inlineStr">
        <is>
          <t>A 48288-2022</t>
        </is>
      </c>
      <c r="B606" t="inlineStr">
        <is>
          <t>avverkningsanmälan</t>
        </is>
      </c>
      <c r="C606" t="inlineStr">
        <is>
          <t>Föryngringsavverkning</t>
        </is>
      </c>
      <c r="D606" s="1" t="n">
        <v>44858</v>
      </c>
      <c r="E606" s="1" t="n">
        <v>46320</v>
      </c>
      <c r="F606" t="inlineStr">
        <is>
          <t>VÄRMLANDS LÄN</t>
        </is>
      </c>
      <c r="G606" t="inlineStr">
        <is>
          <t>EDA</t>
        </is>
      </c>
      <c r="I606" t="n">
        <v>2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s="2" t="inlineStr"/>
    </row>
    <row r="607" ht="15" customHeight="1">
      <c r="A607" t="inlineStr">
        <is>
          <t>A 35878-2024</t>
        </is>
      </c>
      <c r="B607" t="inlineStr">
        <is>
          <t>avverkningsanmälan</t>
        </is>
      </c>
      <c r="C607" t="inlineStr">
        <is>
          <t>Föryngringsavverkning</t>
        </is>
      </c>
      <c r="D607" s="1" t="n">
        <v>45533</v>
      </c>
      <c r="E607" s="1" t="n">
        <v>46320</v>
      </c>
      <c r="F607" t="inlineStr">
        <is>
          <t>VÄRMLANDS LÄN</t>
        </is>
      </c>
      <c r="G607" t="inlineStr">
        <is>
          <t>EDA</t>
        </is>
      </c>
      <c r="I607" t="n">
        <v>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s="2" t="inlineStr"/>
    </row>
    <row r="608" ht="15" customHeight="1">
      <c r="A608" t="inlineStr">
        <is>
          <t>A 47750-2024</t>
        </is>
      </c>
      <c r="B608" t="inlineStr">
        <is>
          <t>avverkningsanmälan</t>
        </is>
      </c>
      <c r="C608" t="inlineStr">
        <is>
          <t>Föryngringsavverkning</t>
        </is>
      </c>
      <c r="D608" s="1" t="n">
        <v>45588</v>
      </c>
      <c r="E608" s="1" t="n">
        <v>46320</v>
      </c>
      <c r="F608" t="inlineStr">
        <is>
          <t>VÄRMLANDS LÄN</t>
        </is>
      </c>
      <c r="G608" t="inlineStr">
        <is>
          <t>EDA</t>
        </is>
      </c>
      <c r="I608" t="n">
        <v>6.3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s="2" t="inlineStr"/>
    </row>
    <row r="609" ht="15" customHeight="1">
      <c r="A609" t="inlineStr">
        <is>
          <t>A 58179-2023</t>
        </is>
      </c>
      <c r="B609" t="inlineStr">
        <is>
          <t>avverkningsanmälan</t>
        </is>
      </c>
      <c r="C609" t="inlineStr">
        <is>
          <t>Föryngringsavverkning</t>
        </is>
      </c>
      <c r="D609" s="1" t="n">
        <v>45250</v>
      </c>
      <c r="E609" s="1" t="n">
        <v>46320</v>
      </c>
      <c r="F609" t="inlineStr">
        <is>
          <t>VÄRMLANDS LÄN</t>
        </is>
      </c>
      <c r="G609" t="inlineStr">
        <is>
          <t>EDA</t>
        </is>
      </c>
      <c r="I609" t="n">
        <v>2.5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s="2" t="inlineStr"/>
    </row>
    <row r="610" ht="15" customHeight="1">
      <c r="A610" t="inlineStr">
        <is>
          <t>A 6609-2023</t>
        </is>
      </c>
      <c r="B610" t="inlineStr">
        <is>
          <t>avverkningsanmälan</t>
        </is>
      </c>
      <c r="C610" t="inlineStr">
        <is>
          <t>Föryngringsavverkning</t>
        </is>
      </c>
      <c r="D610" s="1" t="n">
        <v>44966</v>
      </c>
      <c r="E610" s="1" t="n">
        <v>46320</v>
      </c>
      <c r="F610" t="inlineStr">
        <is>
          <t>VÄRMLANDS LÄN</t>
        </is>
      </c>
      <c r="G610" t="inlineStr">
        <is>
          <t>EDA</t>
        </is>
      </c>
      <c r="I610" t="n">
        <v>4.5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s="2" t="inlineStr"/>
    </row>
    <row r="611" ht="15" customHeight="1">
      <c r="A611" t="inlineStr">
        <is>
          <t>A 13482-2025</t>
        </is>
      </c>
      <c r="B611" t="inlineStr">
        <is>
          <t>avverkningsanmälan</t>
        </is>
      </c>
      <c r="C611" t="inlineStr">
        <is>
          <t>Föryngringsavverkning</t>
        </is>
      </c>
      <c r="D611" s="1" t="n">
        <v>45736</v>
      </c>
      <c r="E611" s="1" t="n">
        <v>46320</v>
      </c>
      <c r="F611" t="inlineStr">
        <is>
          <t>VÄRMLANDS LÄN</t>
        </is>
      </c>
      <c r="G611" t="inlineStr">
        <is>
          <t>EDA</t>
        </is>
      </c>
      <c r="I611" t="n">
        <v>0.6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s="2" t="inlineStr"/>
    </row>
    <row r="612" ht="15" customHeight="1">
      <c r="A612" t="inlineStr">
        <is>
          <t>A 20056-2023</t>
        </is>
      </c>
      <c r="B612" t="inlineStr">
        <is>
          <t>avverkningsanmälan</t>
        </is>
      </c>
      <c r="C612" t="inlineStr">
        <is>
          <t>Föryngringsavverkning</t>
        </is>
      </c>
      <c r="D612" s="1" t="n">
        <v>45054</v>
      </c>
      <c r="E612" s="1" t="n">
        <v>46320</v>
      </c>
      <c r="F612" t="inlineStr">
        <is>
          <t>VÄRMLANDS LÄN</t>
        </is>
      </c>
      <c r="G612" t="inlineStr">
        <is>
          <t>EDA</t>
        </is>
      </c>
      <c r="I612" t="n">
        <v>1.9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s="2" t="inlineStr"/>
    </row>
    <row r="613" ht="15" customHeight="1">
      <c r="A613" t="inlineStr">
        <is>
          <t>A 17593-2023</t>
        </is>
      </c>
      <c r="B613" t="inlineStr">
        <is>
          <t>avverkningsanmälan</t>
        </is>
      </c>
      <c r="C613" t="inlineStr">
        <is>
          <t>Föryngringsavverkning</t>
        </is>
      </c>
      <c r="D613" s="1" t="n">
        <v>45036</v>
      </c>
      <c r="E613" s="1" t="n">
        <v>46320</v>
      </c>
      <c r="F613" t="inlineStr">
        <is>
          <t>VÄRMLANDS LÄN</t>
        </is>
      </c>
      <c r="G613" t="inlineStr">
        <is>
          <t>EDA</t>
        </is>
      </c>
      <c r="I613" t="n">
        <v>4.1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s="2" t="inlineStr"/>
    </row>
    <row r="614" ht="15" customHeight="1">
      <c r="A614" t="inlineStr">
        <is>
          <t>A 4269-2022</t>
        </is>
      </c>
      <c r="B614" t="inlineStr">
        <is>
          <t>avverkningsanmälan</t>
        </is>
      </c>
      <c r="C614" t="inlineStr">
        <is>
          <t>Föryngringsavverkning</t>
        </is>
      </c>
      <c r="D614" s="1" t="n">
        <v>44588</v>
      </c>
      <c r="E614" s="1" t="n">
        <v>46320</v>
      </c>
      <c r="F614" t="inlineStr">
        <is>
          <t>VÄRMLANDS LÄN</t>
        </is>
      </c>
      <c r="G614" t="inlineStr">
        <is>
          <t>EDA</t>
        </is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s="2" t="inlineStr"/>
    </row>
    <row r="615" ht="15" customHeight="1">
      <c r="A615" t="inlineStr">
        <is>
          <t>A 54678-2022</t>
        </is>
      </c>
      <c r="B615" t="inlineStr">
        <is>
          <t>avverkningsanmälan</t>
        </is>
      </c>
      <c r="C615" t="inlineStr">
        <is>
          <t>Föryngringsavverkning</t>
        </is>
      </c>
      <c r="D615" s="1" t="n">
        <v>44883</v>
      </c>
      <c r="E615" s="1" t="n">
        <v>46320</v>
      </c>
      <c r="F615" t="inlineStr">
        <is>
          <t>VÄRMLANDS LÄN</t>
        </is>
      </c>
      <c r="G615" t="inlineStr">
        <is>
          <t>EDA</t>
        </is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s="2" t="inlineStr"/>
    </row>
    <row r="616" ht="15" customHeight="1">
      <c r="A616" t="inlineStr">
        <is>
          <t>A 25807-2023</t>
        </is>
      </c>
      <c r="B616" t="inlineStr">
        <is>
          <t>avverkningsanmälan</t>
        </is>
      </c>
      <c r="C616" t="inlineStr">
        <is>
          <t>Föryngringsavverkning</t>
        </is>
      </c>
      <c r="D616" s="1" t="n">
        <v>45090</v>
      </c>
      <c r="E616" s="1" t="n">
        <v>46320</v>
      </c>
      <c r="F616" t="inlineStr">
        <is>
          <t>VÄRMLANDS LÄN</t>
        </is>
      </c>
      <c r="G616" t="inlineStr">
        <is>
          <t>EDA</t>
        </is>
      </c>
      <c r="I616" t="n">
        <v>0.9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s="2" t="inlineStr"/>
    </row>
    <row r="617" ht="15" customHeight="1">
      <c r="A617" t="inlineStr">
        <is>
          <t>A 57138-2023</t>
        </is>
      </c>
      <c r="B617" t="inlineStr">
        <is>
          <t>avverkningsanmälan</t>
        </is>
      </c>
      <c r="C617" t="inlineStr">
        <is>
          <t>Föryngringsavverkning</t>
        </is>
      </c>
      <c r="D617" s="1" t="n">
        <v>45245</v>
      </c>
      <c r="E617" s="1" t="n">
        <v>46320</v>
      </c>
      <c r="F617" t="inlineStr">
        <is>
          <t>VÄRMLANDS LÄN</t>
        </is>
      </c>
      <c r="G617" t="inlineStr">
        <is>
          <t>EDA</t>
        </is>
      </c>
      <c r="H617" t="inlineStr">
        <is>
          <t>Övriga Aktiebolag</t>
        </is>
      </c>
      <c r="I617" t="n">
        <v>0.8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s="2" t="inlineStr"/>
    </row>
    <row r="618" ht="15" customHeight="1">
      <c r="A618" t="inlineStr">
        <is>
          <t>A 36716-2023</t>
        </is>
      </c>
      <c r="B618" t="inlineStr">
        <is>
          <t>avverkningsanmälan</t>
        </is>
      </c>
      <c r="C618" t="inlineStr">
        <is>
          <t>Föryngringsavverkning</t>
        </is>
      </c>
      <c r="D618" s="1" t="n">
        <v>45153</v>
      </c>
      <c r="E618" s="1" t="n">
        <v>46320</v>
      </c>
      <c r="F618" t="inlineStr">
        <is>
          <t>VÄRMLANDS LÄN</t>
        </is>
      </c>
      <c r="G618" t="inlineStr">
        <is>
          <t>EDA</t>
        </is>
      </c>
      <c r="I618" t="n">
        <v>5.7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s="2" t="inlineStr"/>
    </row>
    <row r="619" ht="15" customHeight="1">
      <c r="A619" t="inlineStr">
        <is>
          <t>A 54195-2022</t>
        </is>
      </c>
      <c r="B619" t="inlineStr">
        <is>
          <t>avverkningsanmälan</t>
        </is>
      </c>
      <c r="C619" t="inlineStr">
        <is>
          <t>Föryngringsavverkning</t>
        </is>
      </c>
      <c r="D619" s="1" t="n">
        <v>44881</v>
      </c>
      <c r="E619" s="1" t="n">
        <v>46320</v>
      </c>
      <c r="F619" t="inlineStr">
        <is>
          <t>VÄRMLANDS LÄN</t>
        </is>
      </c>
      <c r="G619" t="inlineStr">
        <is>
          <t>EDA</t>
        </is>
      </c>
      <c r="I619" t="n">
        <v>11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s="2" t="inlineStr"/>
    </row>
    <row r="620" ht="15" customHeight="1">
      <c r="A620" t="inlineStr">
        <is>
          <t>A 26831-2023</t>
        </is>
      </c>
      <c r="B620" t="inlineStr">
        <is>
          <t>avverkningsanmälan</t>
        </is>
      </c>
      <c r="C620" t="inlineStr">
        <is>
          <t>Föryngringsavverkning</t>
        </is>
      </c>
      <c r="D620" s="1" t="n">
        <v>45090</v>
      </c>
      <c r="E620" s="1" t="n">
        <v>46320</v>
      </c>
      <c r="F620" t="inlineStr">
        <is>
          <t>VÄRMLANDS LÄN</t>
        </is>
      </c>
      <c r="G620" t="inlineStr">
        <is>
          <t>EDA</t>
        </is>
      </c>
      <c r="I620" t="n">
        <v>2.9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s="2" t="inlineStr"/>
    </row>
    <row r="621" ht="15" customHeight="1">
      <c r="A621" t="inlineStr">
        <is>
          <t>A 18059-2023</t>
        </is>
      </c>
      <c r="B621" t="inlineStr">
        <is>
          <t>avverkningsanmälan</t>
        </is>
      </c>
      <c r="C621" t="inlineStr">
        <is>
          <t>Föryngringsavverkning</t>
        </is>
      </c>
      <c r="D621" s="1" t="n">
        <v>45040</v>
      </c>
      <c r="E621" s="1" t="n">
        <v>46320</v>
      </c>
      <c r="F621" t="inlineStr">
        <is>
          <t>VÄRMLANDS LÄN</t>
        </is>
      </c>
      <c r="G621" t="inlineStr">
        <is>
          <t>EDA</t>
        </is>
      </c>
      <c r="I621" t="n">
        <v>1.8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s="2" t="inlineStr"/>
    </row>
    <row r="622" ht="15" customHeight="1">
      <c r="A622" t="inlineStr">
        <is>
          <t>A 25437-2023</t>
        </is>
      </c>
      <c r="B622" t="inlineStr">
        <is>
          <t>avverkningsanmälan</t>
        </is>
      </c>
      <c r="C622" t="inlineStr">
        <is>
          <t>Föryngringsavverkning</t>
        </is>
      </c>
      <c r="D622" s="1" t="n">
        <v>45089</v>
      </c>
      <c r="E622" s="1" t="n">
        <v>46320</v>
      </c>
      <c r="F622" t="inlineStr">
        <is>
          <t>VÄRMLANDS LÄN</t>
        </is>
      </c>
      <c r="G622" t="inlineStr">
        <is>
          <t>EDA</t>
        </is>
      </c>
      <c r="I622" t="n">
        <v>3.7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s="2" t="inlineStr"/>
    </row>
    <row r="623" ht="15" customHeight="1">
      <c r="A623" t="inlineStr">
        <is>
          <t>A 20049-2023</t>
        </is>
      </c>
      <c r="B623" t="inlineStr">
        <is>
          <t>avverkningsanmälan</t>
        </is>
      </c>
      <c r="C623" t="inlineStr">
        <is>
          <t>Föryngringsavverkning</t>
        </is>
      </c>
      <c r="D623" s="1" t="n">
        <v>45054</v>
      </c>
      <c r="E623" s="1" t="n">
        <v>46320</v>
      </c>
      <c r="F623" t="inlineStr">
        <is>
          <t>VÄRMLANDS LÄN</t>
        </is>
      </c>
      <c r="G623" t="inlineStr">
        <is>
          <t>EDA</t>
        </is>
      </c>
      <c r="I623" t="n">
        <v>0.6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s="2" t="inlineStr"/>
    </row>
    <row r="624" ht="15" customHeight="1">
      <c r="A624" t="inlineStr">
        <is>
          <t>A 20052-2023</t>
        </is>
      </c>
      <c r="B624" t="inlineStr">
        <is>
          <t>avverkningsanmälan</t>
        </is>
      </c>
      <c r="C624" t="inlineStr">
        <is>
          <t>Föryngringsavverkning</t>
        </is>
      </c>
      <c r="D624" s="1" t="n">
        <v>45054</v>
      </c>
      <c r="E624" s="1" t="n">
        <v>46320</v>
      </c>
      <c r="F624" t="inlineStr">
        <is>
          <t>VÄRMLANDS LÄN</t>
        </is>
      </c>
      <c r="G624" t="inlineStr">
        <is>
          <t>EDA</t>
        </is>
      </c>
      <c r="I624" t="n">
        <v>6.8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s="2" t="inlineStr"/>
    </row>
    <row r="625" ht="15" customHeight="1">
      <c r="A625" t="inlineStr">
        <is>
          <t>A 16468-2025</t>
        </is>
      </c>
      <c r="B625" t="inlineStr">
        <is>
          <t>avverkningsanmälan</t>
        </is>
      </c>
      <c r="C625" t="inlineStr">
        <is>
          <t>Föryngringsavverkning</t>
        </is>
      </c>
      <c r="D625" s="1" t="n">
        <v>45751</v>
      </c>
      <c r="E625" s="1" t="n">
        <v>46320</v>
      </c>
      <c r="F625" t="inlineStr">
        <is>
          <t>VÄRMLANDS LÄN</t>
        </is>
      </c>
      <c r="G625" t="inlineStr">
        <is>
          <t>EDA</t>
        </is>
      </c>
      <c r="I625" t="n">
        <v>1.1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s="2" t="inlineStr"/>
    </row>
    <row r="626" ht="15" customHeight="1">
      <c r="A626" t="inlineStr">
        <is>
          <t>A 37159-2024</t>
        </is>
      </c>
      <c r="B626" t="inlineStr">
        <is>
          <t>avverkningsanmälan</t>
        </is>
      </c>
      <c r="C626" t="inlineStr">
        <is>
          <t>Föryngringsavverkning</t>
        </is>
      </c>
      <c r="D626" s="1" t="n">
        <v>45539</v>
      </c>
      <c r="E626" s="1" t="n">
        <v>46320</v>
      </c>
      <c r="F626" t="inlineStr">
        <is>
          <t>VÄRMLANDS LÄN</t>
        </is>
      </c>
      <c r="G626" t="inlineStr">
        <is>
          <t>EDA</t>
        </is>
      </c>
      <c r="I626" t="n">
        <v>2.4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s="2" t="inlineStr"/>
    </row>
    <row r="627" ht="15" customHeight="1">
      <c r="A627" t="inlineStr">
        <is>
          <t>A 40826-2024</t>
        </is>
      </c>
      <c r="B627" t="inlineStr">
        <is>
          <t>avverkningsanmälan</t>
        </is>
      </c>
      <c r="C627" t="inlineStr">
        <is>
          <t>Föryngringsavverkning</t>
        </is>
      </c>
      <c r="D627" s="1" t="n">
        <v>45558</v>
      </c>
      <c r="E627" s="1" t="n">
        <v>46320</v>
      </c>
      <c r="F627" t="inlineStr">
        <is>
          <t>VÄRMLANDS LÄN</t>
        </is>
      </c>
      <c r="G627" t="inlineStr">
        <is>
          <t>EDA</t>
        </is>
      </c>
      <c r="I627" t="n">
        <v>1.3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s="2" t="inlineStr"/>
    </row>
    <row r="628" ht="15" customHeight="1">
      <c r="A628" t="inlineStr">
        <is>
          <t>A 6494-2023</t>
        </is>
      </c>
      <c r="B628" t="inlineStr">
        <is>
          <t>avverkningsanmälan</t>
        </is>
      </c>
      <c r="C628" t="inlineStr">
        <is>
          <t>Avverkning för annat ändamål</t>
        </is>
      </c>
      <c r="D628" s="1" t="n">
        <v>44966</v>
      </c>
      <c r="E628" s="1" t="n">
        <v>46320</v>
      </c>
      <c r="F628" t="inlineStr">
        <is>
          <t>VÄRMLANDS LÄN</t>
        </is>
      </c>
      <c r="G628" t="inlineStr">
        <is>
          <t>EDA</t>
        </is>
      </c>
      <c r="I628" t="n">
        <v>3.6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s="2" t="inlineStr"/>
    </row>
    <row r="629" ht="15" customHeight="1">
      <c r="A629" t="inlineStr">
        <is>
          <t>A 6537-2023</t>
        </is>
      </c>
      <c r="B629" t="inlineStr">
        <is>
          <t>avverkningsanmälan</t>
        </is>
      </c>
      <c r="C629" t="inlineStr">
        <is>
          <t>Avverkning för annat ändamål</t>
        </is>
      </c>
      <c r="D629" s="1" t="n">
        <v>44966</v>
      </c>
      <c r="E629" s="1" t="n">
        <v>46320</v>
      </c>
      <c r="F629" t="inlineStr">
        <is>
          <t>VÄRMLANDS LÄN</t>
        </is>
      </c>
      <c r="G629" t="inlineStr">
        <is>
          <t>EDA</t>
        </is>
      </c>
      <c r="I629" t="n">
        <v>3.9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s="2" t="inlineStr"/>
    </row>
    <row r="630" ht="15" customHeight="1">
      <c r="A630" t="inlineStr">
        <is>
          <t>A 58261-2022</t>
        </is>
      </c>
      <c r="B630" t="inlineStr">
        <is>
          <t>avverkningsanmälan</t>
        </is>
      </c>
      <c r="C630" t="inlineStr">
        <is>
          <t>Föryngringsavverkning</t>
        </is>
      </c>
      <c r="D630" s="1" t="n">
        <v>44901</v>
      </c>
      <c r="E630" s="1" t="n">
        <v>46320</v>
      </c>
      <c r="F630" t="inlineStr">
        <is>
          <t>VÄRMLANDS LÄN</t>
        </is>
      </c>
      <c r="G630" t="inlineStr">
        <is>
          <t>EDA</t>
        </is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s="2" t="inlineStr"/>
    </row>
    <row r="631" ht="15" customHeight="1">
      <c r="A631" t="inlineStr">
        <is>
          <t>A 5953-2024</t>
        </is>
      </c>
      <c r="B631" t="inlineStr">
        <is>
          <t>avverkningsanmälan</t>
        </is>
      </c>
      <c r="C631" t="inlineStr">
        <is>
          <t>Föryngringsavverkning</t>
        </is>
      </c>
      <c r="D631" s="1" t="n">
        <v>45336</v>
      </c>
      <c r="E631" s="1" t="n">
        <v>46320</v>
      </c>
      <c r="F631" t="inlineStr">
        <is>
          <t>VÄRMLANDS LÄN</t>
        </is>
      </c>
      <c r="G631" t="inlineStr">
        <is>
          <t>EDA</t>
        </is>
      </c>
      <c r="I631" t="n">
        <v>1.2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s="2" t="inlineStr"/>
    </row>
    <row r="632" ht="15" customHeight="1">
      <c r="A632" t="inlineStr">
        <is>
          <t>A 3885-2023</t>
        </is>
      </c>
      <c r="B632" t="inlineStr">
        <is>
          <t>avverkningsanmälan</t>
        </is>
      </c>
      <c r="C632" t="inlineStr">
        <is>
          <t>Föryngringsavverkning</t>
        </is>
      </c>
      <c r="D632" s="1" t="n">
        <v>44951</v>
      </c>
      <c r="E632" s="1" t="n">
        <v>46320</v>
      </c>
      <c r="F632" t="inlineStr">
        <is>
          <t>VÄRMLANDS LÄN</t>
        </is>
      </c>
      <c r="G632" t="inlineStr">
        <is>
          <t>EDA</t>
        </is>
      </c>
      <c r="I632" t="n">
        <v>0.6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s="2" t="inlineStr"/>
    </row>
    <row r="633" ht="15" customHeight="1">
      <c r="A633" t="inlineStr">
        <is>
          <t>A 45147-2023</t>
        </is>
      </c>
      <c r="B633" t="inlineStr">
        <is>
          <t>avverkningsanmälan</t>
        </is>
      </c>
      <c r="C633" t="inlineStr">
        <is>
          <t>Föryngringsavverkning</t>
        </is>
      </c>
      <c r="D633" s="1" t="n">
        <v>45191</v>
      </c>
      <c r="E633" s="1" t="n">
        <v>46320</v>
      </c>
      <c r="F633" t="inlineStr">
        <is>
          <t>VÄRMLANDS LÄN</t>
        </is>
      </c>
      <c r="G633" t="inlineStr">
        <is>
          <t>EDA</t>
        </is>
      </c>
      <c r="I633" t="n">
        <v>2.3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s="2" t="inlineStr"/>
    </row>
    <row r="634" ht="15" customHeight="1">
      <c r="A634" t="inlineStr">
        <is>
          <t>A 70554-2021</t>
        </is>
      </c>
      <c r="B634" t="inlineStr">
        <is>
          <t>avverkningsanmälan</t>
        </is>
      </c>
      <c r="C634" t="inlineStr">
        <is>
          <t>Föryngringsavverkning</t>
        </is>
      </c>
      <c r="D634" s="1" t="n">
        <v>44537</v>
      </c>
      <c r="E634" s="1" t="n">
        <v>46320</v>
      </c>
      <c r="F634" t="inlineStr">
        <is>
          <t>VÄRMLANDS LÄN</t>
        </is>
      </c>
      <c r="G634" t="inlineStr">
        <is>
          <t>EDA</t>
        </is>
      </c>
      <c r="I634" t="n">
        <v>1.1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s="2" t="inlineStr"/>
    </row>
    <row r="635" ht="15" customHeight="1">
      <c r="A635" t="inlineStr">
        <is>
          <t>A 29401-2023</t>
        </is>
      </c>
      <c r="B635" t="inlineStr">
        <is>
          <t>avverkningsanmälan</t>
        </is>
      </c>
      <c r="C635" t="inlineStr">
        <is>
          <t>Föryngringsavverkning</t>
        </is>
      </c>
      <c r="D635" s="1" t="n">
        <v>45106</v>
      </c>
      <c r="E635" s="1" t="n">
        <v>46320</v>
      </c>
      <c r="F635" t="inlineStr">
        <is>
          <t>VÄRMLANDS LÄN</t>
        </is>
      </c>
      <c r="G635" t="inlineStr">
        <is>
          <t>EDA</t>
        </is>
      </c>
      <c r="I635" t="n">
        <v>1.6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s="2" t="inlineStr"/>
    </row>
    <row r="636" ht="15" customHeight="1">
      <c r="A636" t="inlineStr">
        <is>
          <t>A 14923-2023</t>
        </is>
      </c>
      <c r="B636" t="inlineStr">
        <is>
          <t>avverkningsanmälan</t>
        </is>
      </c>
      <c r="C636" t="inlineStr">
        <is>
          <t>Föryngringsavverkning</t>
        </is>
      </c>
      <c r="D636" s="1" t="n">
        <v>45015</v>
      </c>
      <c r="E636" s="1" t="n">
        <v>46320</v>
      </c>
      <c r="F636" t="inlineStr">
        <is>
          <t>VÄRMLANDS LÄN</t>
        </is>
      </c>
      <c r="G636" t="inlineStr">
        <is>
          <t>EDA</t>
        </is>
      </c>
      <c r="I636" t="n">
        <v>4.3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s="2" t="inlineStr"/>
    </row>
    <row r="637" ht="15" customHeight="1">
      <c r="A637" t="inlineStr">
        <is>
          <t>A 14951-2023</t>
        </is>
      </c>
      <c r="B637" t="inlineStr">
        <is>
          <t>avverkningsanmälan</t>
        </is>
      </c>
      <c r="C637" t="inlineStr">
        <is>
          <t>Föryngringsavverkning</t>
        </is>
      </c>
      <c r="D637" s="1" t="n">
        <v>45015</v>
      </c>
      <c r="E637" s="1" t="n">
        <v>46320</v>
      </c>
      <c r="F637" t="inlineStr">
        <is>
          <t>VÄRMLANDS LÄN</t>
        </is>
      </c>
      <c r="G637" t="inlineStr">
        <is>
          <t>EDA</t>
        </is>
      </c>
      <c r="I637" t="n">
        <v>0.9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s="2" t="inlineStr"/>
    </row>
    <row r="638" ht="15" customHeight="1">
      <c r="A638" t="inlineStr">
        <is>
          <t>A 71724-2021</t>
        </is>
      </c>
      <c r="B638" t="inlineStr">
        <is>
          <t>avverkningsanmälan</t>
        </is>
      </c>
      <c r="C638" t="inlineStr">
        <is>
          <t>Föryngringsavverkning</t>
        </is>
      </c>
      <c r="D638" s="1" t="n">
        <v>44543</v>
      </c>
      <c r="E638" s="1" t="n">
        <v>46320</v>
      </c>
      <c r="F638" t="inlineStr">
        <is>
          <t>VÄRMLANDS LÄN</t>
        </is>
      </c>
      <c r="G638" t="inlineStr">
        <is>
          <t>EDA</t>
        </is>
      </c>
      <c r="I638" t="n">
        <v>1.7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s="2" t="inlineStr"/>
    </row>
    <row r="639" ht="15" customHeight="1">
      <c r="A639" t="inlineStr">
        <is>
          <t>A 34917-2023</t>
        </is>
      </c>
      <c r="B639" t="inlineStr">
        <is>
          <t>avverkningsanmälan</t>
        </is>
      </c>
      <c r="C639" t="inlineStr">
        <is>
          <t>Föryngringsavverkning</t>
        </is>
      </c>
      <c r="D639" s="1" t="n">
        <v>45142</v>
      </c>
      <c r="E639" s="1" t="n">
        <v>46320</v>
      </c>
      <c r="F639" t="inlineStr">
        <is>
          <t>VÄRMLANDS LÄN</t>
        </is>
      </c>
      <c r="G639" t="inlineStr">
        <is>
          <t>EDA</t>
        </is>
      </c>
      <c r="I639" t="n">
        <v>0.7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s="2" t="inlineStr"/>
    </row>
    <row r="640" ht="15" customHeight="1">
      <c r="A640" t="inlineStr">
        <is>
          <t>A 32073-2023</t>
        </is>
      </c>
      <c r="B640" t="inlineStr">
        <is>
          <t>avverkningsanmälan</t>
        </is>
      </c>
      <c r="C640" t="inlineStr">
        <is>
          <t>Föryngringsavverkning</t>
        </is>
      </c>
      <c r="D640" s="1" t="n">
        <v>45119</v>
      </c>
      <c r="E640" s="1" t="n">
        <v>46320</v>
      </c>
      <c r="F640" t="inlineStr">
        <is>
          <t>VÄRMLANDS LÄN</t>
        </is>
      </c>
      <c r="G640" t="inlineStr">
        <is>
          <t>EDA</t>
        </is>
      </c>
      <c r="I640" t="n">
        <v>3.2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s="2" t="inlineStr"/>
    </row>
    <row r="641" ht="15" customHeight="1">
      <c r="A641" t="inlineStr">
        <is>
          <t>A 35317-2023</t>
        </is>
      </c>
      <c r="B641" t="inlineStr">
        <is>
          <t>avverkningsanmälan</t>
        </is>
      </c>
      <c r="C641" t="inlineStr">
        <is>
          <t>Föryngringsavverkning</t>
        </is>
      </c>
      <c r="D641" s="1" t="n">
        <v>45146</v>
      </c>
      <c r="E641" s="1" t="n">
        <v>46320</v>
      </c>
      <c r="F641" t="inlineStr">
        <is>
          <t>VÄRMLANDS LÄN</t>
        </is>
      </c>
      <c r="G641" t="inlineStr">
        <is>
          <t>EDA</t>
        </is>
      </c>
      <c r="I641" t="n">
        <v>1.2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s="2" t="inlineStr"/>
    </row>
    <row r="642" ht="15" customHeight="1">
      <c r="A642" t="inlineStr">
        <is>
          <t>A 34635-2023</t>
        </is>
      </c>
      <c r="B642" t="inlineStr">
        <is>
          <t>avverkningsanmälan</t>
        </is>
      </c>
      <c r="C642" t="inlineStr">
        <is>
          <t>Föryngringsavverkning</t>
        </is>
      </c>
      <c r="D642" s="1" t="n">
        <v>45140</v>
      </c>
      <c r="E642" s="1" t="n">
        <v>46320</v>
      </c>
      <c r="F642" t="inlineStr">
        <is>
          <t>VÄRMLANDS LÄN</t>
        </is>
      </c>
      <c r="G642" t="inlineStr">
        <is>
          <t>EDA</t>
        </is>
      </c>
      <c r="I642" t="n">
        <v>1.5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s="2" t="inlineStr"/>
    </row>
    <row r="643" ht="15" customHeight="1">
      <c r="A643" t="inlineStr">
        <is>
          <t>A 25848-2024</t>
        </is>
      </c>
      <c r="B643" t="inlineStr">
        <is>
          <t>avverkningsanmälan</t>
        </is>
      </c>
      <c r="C643" t="inlineStr">
        <is>
          <t>Föryngringsavverkning</t>
        </is>
      </c>
      <c r="D643" s="1" t="n">
        <v>45467</v>
      </c>
      <c r="E643" s="1" t="n">
        <v>46320</v>
      </c>
      <c r="F643" t="inlineStr">
        <is>
          <t>VÄRMLANDS LÄN</t>
        </is>
      </c>
      <c r="G643" t="inlineStr">
        <is>
          <t>EDA</t>
        </is>
      </c>
      <c r="I643" t="n">
        <v>3.1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s="2" t="inlineStr"/>
    </row>
    <row r="644" ht="15" customHeight="1">
      <c r="A644" t="inlineStr">
        <is>
          <t>A 35705-2024</t>
        </is>
      </c>
      <c r="B644" t="inlineStr">
        <is>
          <t>avverkningsanmälan</t>
        </is>
      </c>
      <c r="C644" t="inlineStr">
        <is>
          <t>Föryngringsavverkning</t>
        </is>
      </c>
      <c r="D644" s="1" t="n">
        <v>45532</v>
      </c>
      <c r="E644" s="1" t="n">
        <v>46320</v>
      </c>
      <c r="F644" t="inlineStr">
        <is>
          <t>VÄRMLANDS LÄN</t>
        </is>
      </c>
      <c r="G644" t="inlineStr">
        <is>
          <t>EDA</t>
        </is>
      </c>
      <c r="I644" t="n">
        <v>1.1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s="2" t="inlineStr"/>
    </row>
    <row r="645" ht="15" customHeight="1">
      <c r="A645" t="inlineStr">
        <is>
          <t>A 36157-2023</t>
        </is>
      </c>
      <c r="B645" t="inlineStr">
        <is>
          <t>avverkningsanmälan</t>
        </is>
      </c>
      <c r="C645" t="inlineStr">
        <is>
          <t>Avverkning för annat ändamål</t>
        </is>
      </c>
      <c r="D645" s="1" t="n">
        <v>45149</v>
      </c>
      <c r="E645" s="1" t="n">
        <v>46320</v>
      </c>
      <c r="F645" t="inlineStr">
        <is>
          <t>VÄRMLANDS LÄN</t>
        </is>
      </c>
      <c r="G645" t="inlineStr">
        <is>
          <t>EDA</t>
        </is>
      </c>
      <c r="H645" t="inlineStr">
        <is>
          <t>Kommuner</t>
        </is>
      </c>
      <c r="I645" t="n">
        <v>0.2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s="2" t="inlineStr"/>
    </row>
    <row r="646" ht="15" customHeight="1">
      <c r="A646" t="inlineStr">
        <is>
          <t>A 28483-2024</t>
        </is>
      </c>
      <c r="B646" t="inlineStr">
        <is>
          <t>avverkningsanmälan</t>
        </is>
      </c>
      <c r="C646" t="inlineStr">
        <is>
          <t>Föryngringsavverkning</t>
        </is>
      </c>
      <c r="D646" s="1" t="n">
        <v>45477</v>
      </c>
      <c r="E646" s="1" t="n">
        <v>46320</v>
      </c>
      <c r="F646" t="inlineStr">
        <is>
          <t>VÄRMLANDS LÄN</t>
        </is>
      </c>
      <c r="G646" t="inlineStr">
        <is>
          <t>EDA</t>
        </is>
      </c>
      <c r="I646" t="n">
        <v>0.6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s="2" t="inlineStr"/>
    </row>
    <row r="647" ht="15" customHeight="1">
      <c r="A647" t="inlineStr">
        <is>
          <t>A 31932-2024</t>
        </is>
      </c>
      <c r="B647" t="inlineStr">
        <is>
          <t>avverkningsanmälan</t>
        </is>
      </c>
      <c r="C647" t="inlineStr">
        <is>
          <t>Föryngringsavverkning</t>
        </is>
      </c>
      <c r="D647" s="1" t="n">
        <v>45510</v>
      </c>
      <c r="E647" s="1" t="n">
        <v>46320</v>
      </c>
      <c r="F647" t="inlineStr">
        <is>
          <t>VÄRMLANDS LÄN</t>
        </is>
      </c>
      <c r="G647" t="inlineStr">
        <is>
          <t>EDA</t>
        </is>
      </c>
      <c r="I647" t="n">
        <v>2.7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s="2" t="inlineStr"/>
    </row>
    <row r="648" ht="15" customHeight="1">
      <c r="A648" t="inlineStr">
        <is>
          <t>A 10878-2023</t>
        </is>
      </c>
      <c r="B648" t="inlineStr">
        <is>
          <t>avverkningsanmälan</t>
        </is>
      </c>
      <c r="C648" t="inlineStr">
        <is>
          <t>Föryngringsavverkning</t>
        </is>
      </c>
      <c r="D648" s="1" t="n">
        <v>44991</v>
      </c>
      <c r="E648" s="1" t="n">
        <v>46320</v>
      </c>
      <c r="F648" t="inlineStr">
        <is>
          <t>VÄRMLANDS LÄN</t>
        </is>
      </c>
      <c r="G648" t="inlineStr">
        <is>
          <t>EDA</t>
        </is>
      </c>
      <c r="I648" t="n">
        <v>1.5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s="2" t="inlineStr"/>
    </row>
    <row r="649" ht="15" customHeight="1">
      <c r="A649" t="inlineStr">
        <is>
          <t>A 72669-2021</t>
        </is>
      </c>
      <c r="B649" t="inlineStr">
        <is>
          <t>avverkningsanmälan</t>
        </is>
      </c>
      <c r="C649" t="inlineStr">
        <is>
          <t>Föryngringsavverkning</t>
        </is>
      </c>
      <c r="D649" s="1" t="n">
        <v>44546</v>
      </c>
      <c r="E649" s="1" t="n">
        <v>46320</v>
      </c>
      <c r="F649" t="inlineStr">
        <is>
          <t>VÄRMLANDS LÄN</t>
        </is>
      </c>
      <c r="G649" t="inlineStr">
        <is>
          <t>EDA</t>
        </is>
      </c>
      <c r="I649" t="n">
        <v>5.8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s="2" t="inlineStr"/>
    </row>
    <row r="650" ht="15" customHeight="1">
      <c r="A650" t="inlineStr">
        <is>
          <t>A 1652-2024</t>
        </is>
      </c>
      <c r="B650" t="inlineStr">
        <is>
          <t>avverkningsanmälan</t>
        </is>
      </c>
      <c r="C650" t="inlineStr">
        <is>
          <t>Föryngringsavverkning</t>
        </is>
      </c>
      <c r="D650" s="1" t="n">
        <v>45306</v>
      </c>
      <c r="E650" s="1" t="n">
        <v>46320</v>
      </c>
      <c r="F650" t="inlineStr">
        <is>
          <t>VÄRMLANDS LÄN</t>
        </is>
      </c>
      <c r="G650" t="inlineStr">
        <is>
          <t>EDA</t>
        </is>
      </c>
      <c r="I650" t="n">
        <v>2.9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s="2" t="inlineStr"/>
    </row>
    <row r="651" ht="15" customHeight="1">
      <c r="A651" t="inlineStr">
        <is>
          <t>A 24620-2023</t>
        </is>
      </c>
      <c r="B651" t="inlineStr">
        <is>
          <t>avverkningsanmälan</t>
        </is>
      </c>
      <c r="C651" t="inlineStr">
        <is>
          <t>Föryngringsavverkning</t>
        </is>
      </c>
      <c r="D651" s="1" t="n">
        <v>45084</v>
      </c>
      <c r="E651" s="1" t="n">
        <v>46320</v>
      </c>
      <c r="F651" t="inlineStr">
        <is>
          <t>VÄRMLANDS LÄN</t>
        </is>
      </c>
      <c r="G651" t="inlineStr">
        <is>
          <t>EDA</t>
        </is>
      </c>
      <c r="I651" t="n">
        <v>7.8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s="2" t="inlineStr"/>
    </row>
    <row r="652" ht="15" customHeight="1">
      <c r="A652" t="inlineStr">
        <is>
          <t>A 34380-2024</t>
        </is>
      </c>
      <c r="B652" t="inlineStr">
        <is>
          <t>avverkningsanmälan</t>
        </is>
      </c>
      <c r="C652" t="inlineStr">
        <is>
          <t>Föryngringsavverkning</t>
        </is>
      </c>
      <c r="D652" s="1" t="n">
        <v>45525</v>
      </c>
      <c r="E652" s="1" t="n">
        <v>46320</v>
      </c>
      <c r="F652" t="inlineStr">
        <is>
          <t>VÄRMLANDS LÄN</t>
        </is>
      </c>
      <c r="G652" t="inlineStr">
        <is>
          <t>EDA</t>
        </is>
      </c>
      <c r="I652" t="n">
        <v>1.3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s="2" t="inlineStr"/>
    </row>
    <row r="653" ht="15" customHeight="1">
      <c r="A653" t="inlineStr">
        <is>
          <t>A 27680-2024</t>
        </is>
      </c>
      <c r="B653" t="inlineStr">
        <is>
          <t>avverkningsanmälan</t>
        </is>
      </c>
      <c r="C653" t="inlineStr">
        <is>
          <t>Föryngringsavverkning</t>
        </is>
      </c>
      <c r="D653" s="1" t="n">
        <v>45475</v>
      </c>
      <c r="E653" s="1" t="n">
        <v>46320</v>
      </c>
      <c r="F653" t="inlineStr">
        <is>
          <t>VÄRMLANDS LÄN</t>
        </is>
      </c>
      <c r="G653" t="inlineStr">
        <is>
          <t>EDA</t>
        </is>
      </c>
      <c r="I653" t="n">
        <v>1.5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s="2" t="inlineStr"/>
    </row>
    <row r="654" ht="15" customHeight="1">
      <c r="A654" t="inlineStr">
        <is>
          <t>A 19475-2024</t>
        </is>
      </c>
      <c r="B654" t="inlineStr">
        <is>
          <t>avverkningsanmälan</t>
        </is>
      </c>
      <c r="C654" t="inlineStr">
        <is>
          <t>Föryngringsavverkning</t>
        </is>
      </c>
      <c r="D654" s="1" t="n">
        <v>45429</v>
      </c>
      <c r="E654" s="1" t="n">
        <v>46320</v>
      </c>
      <c r="F654" t="inlineStr">
        <is>
          <t>VÄRMLANDS LÄN</t>
        </is>
      </c>
      <c r="G654" t="inlineStr">
        <is>
          <t>EDA</t>
        </is>
      </c>
      <c r="I654" t="n">
        <v>1.2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s="2" t="inlineStr"/>
    </row>
    <row r="655" ht="15" customHeight="1">
      <c r="A655" t="inlineStr">
        <is>
          <t>A 61999-2024</t>
        </is>
      </c>
      <c r="B655" t="inlineStr">
        <is>
          <t>avverkningsanmälan</t>
        </is>
      </c>
      <c r="C655" t="inlineStr">
        <is>
          <t>Föryngringsavverkning</t>
        </is>
      </c>
      <c r="D655" s="1" t="n">
        <v>45654</v>
      </c>
      <c r="E655" s="1" t="n">
        <v>46320</v>
      </c>
      <c r="F655" t="inlineStr">
        <is>
          <t>VÄRMLANDS LÄN</t>
        </is>
      </c>
      <c r="G655" t="inlineStr">
        <is>
          <t>EDA</t>
        </is>
      </c>
      <c r="I655" t="n">
        <v>1.9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s="2" t="inlineStr"/>
    </row>
    <row r="656" ht="15" customHeight="1">
      <c r="A656" t="inlineStr">
        <is>
          <t>A 22062-2024</t>
        </is>
      </c>
      <c r="B656" t="inlineStr">
        <is>
          <t>avverkningsanmälan</t>
        </is>
      </c>
      <c r="C656" t="inlineStr">
        <is>
          <t>Föryngringsavverkning</t>
        </is>
      </c>
      <c r="D656" s="1" t="n">
        <v>45443</v>
      </c>
      <c r="E656" s="1" t="n">
        <v>46320</v>
      </c>
      <c r="F656" t="inlineStr">
        <is>
          <t>VÄRMLANDS LÄN</t>
        </is>
      </c>
      <c r="G656" t="inlineStr">
        <is>
          <t>EDA</t>
        </is>
      </c>
      <c r="I656" t="n">
        <v>1.2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s="2" t="inlineStr"/>
    </row>
    <row r="657" ht="15" customHeight="1">
      <c r="A657" t="inlineStr">
        <is>
          <t>A 7244-2023</t>
        </is>
      </c>
      <c r="B657" t="inlineStr">
        <is>
          <t>avverkningsanmälan</t>
        </is>
      </c>
      <c r="C657" t="inlineStr">
        <is>
          <t>Föryngringsavverkning</t>
        </is>
      </c>
      <c r="D657" s="1" t="n">
        <v>44970</v>
      </c>
      <c r="E657" s="1" t="n">
        <v>46320</v>
      </c>
      <c r="F657" t="inlineStr">
        <is>
          <t>VÄRMLANDS LÄN</t>
        </is>
      </c>
      <c r="G657" t="inlineStr">
        <is>
          <t>EDA</t>
        </is>
      </c>
      <c r="I657" t="n">
        <v>3.8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s="2" t="inlineStr"/>
    </row>
    <row r="658" ht="15" customHeight="1">
      <c r="A658" t="inlineStr">
        <is>
          <t>A 54173-2024</t>
        </is>
      </c>
      <c r="B658" t="inlineStr">
        <is>
          <t>avverkningsanmälan</t>
        </is>
      </c>
      <c r="C658" t="inlineStr">
        <is>
          <t>Föryngringsavverkning</t>
        </is>
      </c>
      <c r="D658" s="1" t="n">
        <v>45616</v>
      </c>
      <c r="E658" s="1" t="n">
        <v>46320</v>
      </c>
      <c r="F658" t="inlineStr">
        <is>
          <t>VÄRMLANDS LÄN</t>
        </is>
      </c>
      <c r="G658" t="inlineStr">
        <is>
          <t>EDA</t>
        </is>
      </c>
      <c r="I658" t="n">
        <v>0.7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s="2" t="inlineStr"/>
    </row>
    <row r="659" ht="15" customHeight="1">
      <c r="A659" t="inlineStr">
        <is>
          <t>A 60477-2022</t>
        </is>
      </c>
      <c r="B659" t="inlineStr">
        <is>
          <t>avverkningsanmälan</t>
        </is>
      </c>
      <c r="C659" t="inlineStr">
        <is>
          <t>Föryngringsavverkning</t>
        </is>
      </c>
      <c r="D659" s="1" t="n">
        <v>44911</v>
      </c>
      <c r="E659" s="1" t="n">
        <v>46320</v>
      </c>
      <c r="F659" t="inlineStr">
        <is>
          <t>VÄRMLANDS LÄN</t>
        </is>
      </c>
      <c r="G659" t="inlineStr">
        <is>
          <t>EDA</t>
        </is>
      </c>
      <c r="I659" t="n">
        <v>3.1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s="2" t="inlineStr"/>
    </row>
    <row r="660" ht="15" customHeight="1">
      <c r="A660" t="inlineStr">
        <is>
          <t>A 41033-2023</t>
        </is>
      </c>
      <c r="B660" t="inlineStr">
        <is>
          <t>avverkningsanmälan</t>
        </is>
      </c>
      <c r="C660" t="inlineStr">
        <is>
          <t>Föryngringsavverkning</t>
        </is>
      </c>
      <c r="D660" s="1" t="n">
        <v>45173</v>
      </c>
      <c r="E660" s="1" t="n">
        <v>46320</v>
      </c>
      <c r="F660" t="inlineStr">
        <is>
          <t>VÄRMLANDS LÄN</t>
        </is>
      </c>
      <c r="G660" t="inlineStr">
        <is>
          <t>EDA</t>
        </is>
      </c>
      <c r="I660" t="n">
        <v>0.9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s="2" t="inlineStr"/>
    </row>
    <row r="661" ht="15" customHeight="1">
      <c r="A661" t="inlineStr">
        <is>
          <t>A 37557-2024</t>
        </is>
      </c>
      <c r="B661" t="inlineStr">
        <is>
          <t>avverkningsanmälan</t>
        </is>
      </c>
      <c r="C661" t="inlineStr">
        <is>
          <t>Föryngringsavverkning</t>
        </is>
      </c>
      <c r="D661" s="1" t="n">
        <v>45541</v>
      </c>
      <c r="E661" s="1" t="n">
        <v>46320</v>
      </c>
      <c r="F661" t="inlineStr">
        <is>
          <t>VÄRMLANDS LÄN</t>
        </is>
      </c>
      <c r="G661" t="inlineStr">
        <is>
          <t>EDA</t>
        </is>
      </c>
      <c r="I661" t="n">
        <v>2.8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s="2" t="inlineStr"/>
    </row>
    <row r="662" ht="15" customHeight="1">
      <c r="A662" t="inlineStr">
        <is>
          <t>A 3570-2022</t>
        </is>
      </c>
      <c r="B662" t="inlineStr">
        <is>
          <t>avverkningsanmälan</t>
        </is>
      </c>
      <c r="C662" t="inlineStr">
        <is>
          <t>Föryngringsavverkning</t>
        </is>
      </c>
      <c r="D662" s="1" t="n">
        <v>44586</v>
      </c>
      <c r="E662" s="1" t="n">
        <v>46320</v>
      </c>
      <c r="F662" t="inlineStr">
        <is>
          <t>VÄRMLANDS LÄN</t>
        </is>
      </c>
      <c r="G662" t="inlineStr">
        <is>
          <t>EDA</t>
        </is>
      </c>
      <c r="I662" t="n">
        <v>1.5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s="2" t="inlineStr"/>
    </row>
    <row r="663" ht="15" customHeight="1">
      <c r="A663" t="inlineStr">
        <is>
          <t>A 31860-2023</t>
        </is>
      </c>
      <c r="B663" t="inlineStr">
        <is>
          <t>avverkningsanmälan</t>
        </is>
      </c>
      <c r="C663" t="inlineStr">
        <is>
          <t>Föryngringsavverkning</t>
        </is>
      </c>
      <c r="D663" s="1" t="n">
        <v>45106</v>
      </c>
      <c r="E663" s="1" t="n">
        <v>46320</v>
      </c>
      <c r="F663" t="inlineStr">
        <is>
          <t>VÄRMLANDS LÄN</t>
        </is>
      </c>
      <c r="G663" t="inlineStr">
        <is>
          <t>EDA</t>
        </is>
      </c>
      <c r="I663" t="n">
        <v>3.1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s="2" t="inlineStr"/>
    </row>
    <row r="664" ht="15" customHeight="1">
      <c r="A664" t="inlineStr">
        <is>
          <t>A 34914-2023</t>
        </is>
      </c>
      <c r="B664" t="inlineStr">
        <is>
          <t>avverkningsanmälan</t>
        </is>
      </c>
      <c r="C664" t="inlineStr">
        <is>
          <t>Föryngringsavverkning</t>
        </is>
      </c>
      <c r="D664" s="1" t="n">
        <v>45142</v>
      </c>
      <c r="E664" s="1" t="n">
        <v>46320</v>
      </c>
      <c r="F664" t="inlineStr">
        <is>
          <t>VÄRMLANDS LÄN</t>
        </is>
      </c>
      <c r="G664" t="inlineStr">
        <is>
          <t>EDA</t>
        </is>
      </c>
      <c r="I664" t="n">
        <v>0.8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s="2" t="inlineStr"/>
    </row>
    <row r="665" ht="15" customHeight="1">
      <c r="A665" t="inlineStr">
        <is>
          <t>A 5954-2024</t>
        </is>
      </c>
      <c r="B665" t="inlineStr">
        <is>
          <t>avverkningsanmälan</t>
        </is>
      </c>
      <c r="C665" t="inlineStr">
        <is>
          <t>Föryngringsavverkning</t>
        </is>
      </c>
      <c r="D665" s="1" t="n">
        <v>45336</v>
      </c>
      <c r="E665" s="1" t="n">
        <v>46320</v>
      </c>
      <c r="F665" t="inlineStr">
        <is>
          <t>VÄRMLANDS LÄN</t>
        </is>
      </c>
      <c r="G665" t="inlineStr">
        <is>
          <t>EDA</t>
        </is>
      </c>
      <c r="I665" t="n">
        <v>5.1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s="2" t="inlineStr"/>
    </row>
    <row r="666" ht="15" customHeight="1">
      <c r="A666" t="inlineStr">
        <is>
          <t>A 62761-2023</t>
        </is>
      </c>
      <c r="B666" t="inlineStr">
        <is>
          <t>avverkningsanmälan</t>
        </is>
      </c>
      <c r="C666" t="inlineStr">
        <is>
          <t>Föryngringsavverkning</t>
        </is>
      </c>
      <c r="D666" s="1" t="n">
        <v>45271</v>
      </c>
      <c r="E666" s="1" t="n">
        <v>46320</v>
      </c>
      <c r="F666" t="inlineStr">
        <is>
          <t>VÄRMLANDS LÄN</t>
        </is>
      </c>
      <c r="G666" t="inlineStr">
        <is>
          <t>EDA</t>
        </is>
      </c>
      <c r="I666" t="n">
        <v>4.4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s="2" t="inlineStr"/>
    </row>
    <row r="667" ht="15" customHeight="1">
      <c r="A667" t="inlineStr">
        <is>
          <t>A 47815-2023</t>
        </is>
      </c>
      <c r="B667" t="inlineStr">
        <is>
          <t>avverkningsanmälan</t>
        </is>
      </c>
      <c r="C667" t="inlineStr">
        <is>
          <t>Föryngringsavverkning</t>
        </is>
      </c>
      <c r="D667" s="1" t="n">
        <v>45204</v>
      </c>
      <c r="E667" s="1" t="n">
        <v>46320</v>
      </c>
      <c r="F667" t="inlineStr">
        <is>
          <t>VÄRMLANDS LÄN</t>
        </is>
      </c>
      <c r="G667" t="inlineStr">
        <is>
          <t>EDA</t>
        </is>
      </c>
      <c r="I667" t="n">
        <v>0.3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s="2" t="inlineStr"/>
    </row>
    <row r="668" ht="15" customHeight="1">
      <c r="A668" t="inlineStr">
        <is>
          <t>A 51143-2024</t>
        </is>
      </c>
      <c r="B668" t="inlineStr">
        <is>
          <t>avverkningsanmälan</t>
        </is>
      </c>
      <c r="C668" t="inlineStr">
        <is>
          <t>Föryngringsavverkning</t>
        </is>
      </c>
      <c r="D668" s="1" t="n">
        <v>45603</v>
      </c>
      <c r="E668" s="1" t="n">
        <v>46320</v>
      </c>
      <c r="F668" t="inlineStr">
        <is>
          <t>VÄRMLANDS LÄN</t>
        </is>
      </c>
      <c r="G668" t="inlineStr">
        <is>
          <t>EDA</t>
        </is>
      </c>
      <c r="I668" t="n">
        <v>4.1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s="2" t="inlineStr"/>
    </row>
    <row r="669" ht="15" customHeight="1">
      <c r="A669" t="inlineStr">
        <is>
          <t>A 20922-2023</t>
        </is>
      </c>
      <c r="B669" t="inlineStr">
        <is>
          <t>avverkningsanmälan</t>
        </is>
      </c>
      <c r="C669" t="inlineStr">
        <is>
          <t>Föryngringsavverkning</t>
        </is>
      </c>
      <c r="D669" s="1" t="n">
        <v>45061</v>
      </c>
      <c r="E669" s="1" t="n">
        <v>46320</v>
      </c>
      <c r="F669" t="inlineStr">
        <is>
          <t>VÄRMLANDS LÄN</t>
        </is>
      </c>
      <c r="G669" t="inlineStr">
        <is>
          <t>EDA</t>
        </is>
      </c>
      <c r="I669" t="n">
        <v>0.5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s="2" t="inlineStr"/>
    </row>
    <row r="670" ht="15" customHeight="1">
      <c r="A670" t="inlineStr">
        <is>
          <t>A 53401-2024</t>
        </is>
      </c>
      <c r="B670" t="inlineStr">
        <is>
          <t>avverkningsanmälan</t>
        </is>
      </c>
      <c r="C670" t="inlineStr">
        <is>
          <t>Föryngringsavverkning</t>
        </is>
      </c>
      <c r="D670" s="1" t="n">
        <v>45614</v>
      </c>
      <c r="E670" s="1" t="n">
        <v>46320</v>
      </c>
      <c r="F670" t="inlineStr">
        <is>
          <t>VÄRMLANDS LÄN</t>
        </is>
      </c>
      <c r="G670" t="inlineStr">
        <is>
          <t>EDA</t>
        </is>
      </c>
      <c r="I670" t="n">
        <v>1.2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s="2" t="inlineStr"/>
    </row>
    <row r="671" ht="15" customHeight="1">
      <c r="A671" t="inlineStr">
        <is>
          <t>A 32323-2024</t>
        </is>
      </c>
      <c r="B671" t="inlineStr">
        <is>
          <t>avverkningsanmälan</t>
        </is>
      </c>
      <c r="C671" t="inlineStr">
        <is>
          <t>Föryngringsavverkning</t>
        </is>
      </c>
      <c r="D671" s="1" t="n">
        <v>45512</v>
      </c>
      <c r="E671" s="1" t="n">
        <v>46320</v>
      </c>
      <c r="F671" t="inlineStr">
        <is>
          <t>VÄRMLANDS LÄN</t>
        </is>
      </c>
      <c r="G671" t="inlineStr">
        <is>
          <t>EDA</t>
        </is>
      </c>
      <c r="I671" t="n">
        <v>8.9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s="2" t="inlineStr"/>
    </row>
    <row r="672" ht="15" customHeight="1">
      <c r="A672" t="inlineStr">
        <is>
          <t>A 47796-2023</t>
        </is>
      </c>
      <c r="B672" t="inlineStr">
        <is>
          <t>avverkningsanmälan</t>
        </is>
      </c>
      <c r="C672" t="inlineStr">
        <is>
          <t>Föryngringsavverkning</t>
        </is>
      </c>
      <c r="D672" s="1" t="n">
        <v>45204</v>
      </c>
      <c r="E672" s="1" t="n">
        <v>46320</v>
      </c>
      <c r="F672" t="inlineStr">
        <is>
          <t>VÄRMLANDS LÄN</t>
        </is>
      </c>
      <c r="G672" t="inlineStr">
        <is>
          <t>EDA</t>
        </is>
      </c>
      <c r="I672" t="n">
        <v>0.6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s="2" t="inlineStr"/>
    </row>
    <row r="673" ht="15" customHeight="1">
      <c r="A673" t="inlineStr">
        <is>
          <t>A 20055-2023</t>
        </is>
      </c>
      <c r="B673" t="inlineStr">
        <is>
          <t>avverkningsanmälan</t>
        </is>
      </c>
      <c r="C673" t="inlineStr">
        <is>
          <t>Föryngringsavverkning</t>
        </is>
      </c>
      <c r="D673" s="1" t="n">
        <v>45054</v>
      </c>
      <c r="E673" s="1" t="n">
        <v>46320</v>
      </c>
      <c r="F673" t="inlineStr">
        <is>
          <t>VÄRMLANDS LÄN</t>
        </is>
      </c>
      <c r="G673" t="inlineStr">
        <is>
          <t>EDA</t>
        </is>
      </c>
      <c r="I673" t="n">
        <v>4.1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s="2" t="inlineStr"/>
    </row>
    <row r="674" ht="15" customHeight="1">
      <c r="A674" t="inlineStr">
        <is>
          <t>A 57323-2024</t>
        </is>
      </c>
      <c r="B674" t="inlineStr">
        <is>
          <t>avverkningsanmälan</t>
        </is>
      </c>
      <c r="C674" t="inlineStr">
        <is>
          <t>Föryngringsavverkning</t>
        </is>
      </c>
      <c r="D674" s="1" t="n">
        <v>45629</v>
      </c>
      <c r="E674" s="1" t="n">
        <v>46320</v>
      </c>
      <c r="F674" t="inlineStr">
        <is>
          <t>VÄRMLANDS LÄN</t>
        </is>
      </c>
      <c r="G674" t="inlineStr">
        <is>
          <t>EDA</t>
        </is>
      </c>
      <c r="I674" t="n">
        <v>3.8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s="2" t="inlineStr"/>
    </row>
    <row r="675" ht="15" customHeight="1">
      <c r="A675" t="inlineStr">
        <is>
          <t>A 3027-2022</t>
        </is>
      </c>
      <c r="B675" t="inlineStr">
        <is>
          <t>avverkningsanmälan</t>
        </is>
      </c>
      <c r="C675" t="inlineStr">
        <is>
          <t>Föryngringsavverkning</t>
        </is>
      </c>
      <c r="D675" s="1" t="n">
        <v>44581</v>
      </c>
      <c r="E675" s="1" t="n">
        <v>46320</v>
      </c>
      <c r="F675" t="inlineStr">
        <is>
          <t>VÄRMLANDS LÄN</t>
        </is>
      </c>
      <c r="G675" t="inlineStr">
        <is>
          <t>EDA</t>
        </is>
      </c>
      <c r="I675" t="n">
        <v>22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s="2" t="inlineStr"/>
    </row>
    <row r="676" ht="15" customHeight="1">
      <c r="A676" t="inlineStr">
        <is>
          <t>A 55903-2024</t>
        </is>
      </c>
      <c r="B676" t="inlineStr">
        <is>
          <t>avverkningsanmälan</t>
        </is>
      </c>
      <c r="C676" t="inlineStr">
        <is>
          <t>Föryngringsavverkning</t>
        </is>
      </c>
      <c r="D676" s="1" t="n">
        <v>45623</v>
      </c>
      <c r="E676" s="1" t="n">
        <v>46320</v>
      </c>
      <c r="F676" t="inlineStr">
        <is>
          <t>VÄRMLANDS LÄN</t>
        </is>
      </c>
      <c r="G676" t="inlineStr">
        <is>
          <t>EDA</t>
        </is>
      </c>
      <c r="I676" t="n">
        <v>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s="2" t="inlineStr"/>
    </row>
    <row r="677" ht="15" customHeight="1">
      <c r="A677" t="inlineStr">
        <is>
          <t>A 36438-2022</t>
        </is>
      </c>
      <c r="B677" t="inlineStr">
        <is>
          <t>avverkningsanmälan</t>
        </is>
      </c>
      <c r="C677" t="inlineStr">
        <is>
          <t>Föryngringsavverkning</t>
        </is>
      </c>
      <c r="D677" s="1" t="n">
        <v>44804</v>
      </c>
      <c r="E677" s="1" t="n">
        <v>46320</v>
      </c>
      <c r="F677" t="inlineStr">
        <is>
          <t>VÄRMLANDS LÄN</t>
        </is>
      </c>
      <c r="G677" t="inlineStr">
        <is>
          <t>EDA</t>
        </is>
      </c>
      <c r="I677" t="n">
        <v>1.3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s="2" t="inlineStr"/>
    </row>
    <row r="678" ht="15" customHeight="1">
      <c r="A678" t="inlineStr">
        <is>
          <t>A 12113-2022</t>
        </is>
      </c>
      <c r="B678" t="inlineStr">
        <is>
          <t>avverkningsanmälan</t>
        </is>
      </c>
      <c r="C678" t="inlineStr">
        <is>
          <t>Föryngringsavverkning</t>
        </is>
      </c>
      <c r="D678" s="1" t="n">
        <v>44636</v>
      </c>
      <c r="E678" s="1" t="n">
        <v>46320</v>
      </c>
      <c r="F678" t="inlineStr">
        <is>
          <t>VÄRMLANDS LÄN</t>
        </is>
      </c>
      <c r="G678" t="inlineStr">
        <is>
          <t>EDA</t>
        </is>
      </c>
      <c r="I678" t="n">
        <v>1.4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s="2" t="inlineStr"/>
    </row>
    <row r="679" ht="15" customHeight="1">
      <c r="A679" t="inlineStr">
        <is>
          <t>A 11146-2022</t>
        </is>
      </c>
      <c r="B679" t="inlineStr">
        <is>
          <t>avverkningsanmälan</t>
        </is>
      </c>
      <c r="C679" t="inlineStr">
        <is>
          <t>Föryngringsavverkning</t>
        </is>
      </c>
      <c r="D679" s="1" t="n">
        <v>44629</v>
      </c>
      <c r="E679" s="1" t="n">
        <v>46320</v>
      </c>
      <c r="F679" t="inlineStr">
        <is>
          <t>VÄRMLANDS LÄN</t>
        </is>
      </c>
      <c r="G679" t="inlineStr">
        <is>
          <t>EDA</t>
        </is>
      </c>
      <c r="I679" t="n">
        <v>0.9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s="2" t="inlineStr"/>
    </row>
    <row r="680" ht="15" customHeight="1">
      <c r="A680" t="inlineStr">
        <is>
          <t>A 26048-2023</t>
        </is>
      </c>
      <c r="B680" t="inlineStr">
        <is>
          <t>avverkningsanmälan</t>
        </is>
      </c>
      <c r="C680" t="inlineStr">
        <is>
          <t>Föryngringsavverkning</t>
        </is>
      </c>
      <c r="D680" s="1" t="n">
        <v>45091</v>
      </c>
      <c r="E680" s="1" t="n">
        <v>46320</v>
      </c>
      <c r="F680" t="inlineStr">
        <is>
          <t>VÄRMLANDS LÄN</t>
        </is>
      </c>
      <c r="G680" t="inlineStr">
        <is>
          <t>EDA</t>
        </is>
      </c>
      <c r="I680" t="n">
        <v>1.6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s="2" t="inlineStr"/>
    </row>
    <row r="681" ht="15" customHeight="1">
      <c r="A681" t="inlineStr">
        <is>
          <t>A 26167-2023</t>
        </is>
      </c>
      <c r="B681" t="inlineStr">
        <is>
          <t>avverkningsanmälan</t>
        </is>
      </c>
      <c r="C681" t="inlineStr">
        <is>
          <t>Avverkning för annat ändamål</t>
        </is>
      </c>
      <c r="D681" s="1" t="n">
        <v>45091</v>
      </c>
      <c r="E681" s="1" t="n">
        <v>46320</v>
      </c>
      <c r="F681" t="inlineStr">
        <is>
          <t>VÄRMLANDS LÄN</t>
        </is>
      </c>
      <c r="G681" t="inlineStr">
        <is>
          <t>EDA</t>
        </is>
      </c>
      <c r="I681" t="n">
        <v>6.1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s="2" t="inlineStr"/>
    </row>
    <row r="682" ht="15" customHeight="1">
      <c r="A682" t="inlineStr">
        <is>
          <t>A 26174-2023</t>
        </is>
      </c>
      <c r="B682" t="inlineStr">
        <is>
          <t>avverkningsanmälan</t>
        </is>
      </c>
      <c r="C682" t="inlineStr">
        <is>
          <t>Avverkning för annat ändamål</t>
        </is>
      </c>
      <c r="D682" s="1" t="n">
        <v>45091</v>
      </c>
      <c r="E682" s="1" t="n">
        <v>46320</v>
      </c>
      <c r="F682" t="inlineStr">
        <is>
          <t>VÄRMLANDS LÄN</t>
        </is>
      </c>
      <c r="G682" t="inlineStr">
        <is>
          <t>EDA</t>
        </is>
      </c>
      <c r="I682" t="n">
        <v>3.3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s="2" t="inlineStr"/>
    </row>
    <row r="683" ht="15" customHeight="1">
      <c r="A683" t="inlineStr">
        <is>
          <t>A 30254-2023</t>
        </is>
      </c>
      <c r="B683" t="inlineStr">
        <is>
          <t>avverkningsanmälan</t>
        </is>
      </c>
      <c r="C683" t="inlineStr">
        <is>
          <t>Föryngringsavverkning</t>
        </is>
      </c>
      <c r="D683" s="1" t="n">
        <v>45110</v>
      </c>
      <c r="E683" s="1" t="n">
        <v>46320</v>
      </c>
      <c r="F683" t="inlineStr">
        <is>
          <t>VÄRMLANDS LÄN</t>
        </is>
      </c>
      <c r="G683" t="inlineStr">
        <is>
          <t>EDA</t>
        </is>
      </c>
      <c r="I683" t="n">
        <v>0.7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s="2" t="inlineStr"/>
    </row>
    <row r="684" ht="15" customHeight="1">
      <c r="A684" t="inlineStr">
        <is>
          <t>A 9179-2025</t>
        </is>
      </c>
      <c r="B684" t="inlineStr">
        <is>
          <t>avverkningsanmälan</t>
        </is>
      </c>
      <c r="C684" t="inlineStr">
        <is>
          <t>Föryngringsavverkning</t>
        </is>
      </c>
      <c r="D684" s="1" t="n">
        <v>45714</v>
      </c>
      <c r="E684" s="1" t="n">
        <v>46320</v>
      </c>
      <c r="F684" t="inlineStr">
        <is>
          <t>VÄRMLANDS LÄN</t>
        </is>
      </c>
      <c r="G684" t="inlineStr">
        <is>
          <t>EDA</t>
        </is>
      </c>
      <c r="I684" t="n">
        <v>1.2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s="2" t="inlineStr"/>
    </row>
    <row r="685" ht="15" customHeight="1">
      <c r="A685" t="inlineStr">
        <is>
          <t>A 12141-2023</t>
        </is>
      </c>
      <c r="B685" t="inlineStr">
        <is>
          <t>avverkningsanmälan</t>
        </is>
      </c>
      <c r="C685" t="inlineStr">
        <is>
          <t>Föryngringsavverkning</t>
        </is>
      </c>
      <c r="D685" s="1" t="n">
        <v>44998</v>
      </c>
      <c r="E685" s="1" t="n">
        <v>46320</v>
      </c>
      <c r="F685" t="inlineStr">
        <is>
          <t>VÄRMLANDS LÄN</t>
        </is>
      </c>
      <c r="G685" t="inlineStr">
        <is>
          <t>EDA</t>
        </is>
      </c>
      <c r="I685" t="n">
        <v>0.6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s="2" t="inlineStr"/>
    </row>
    <row r="686" ht="15" customHeight="1">
      <c r="A686" t="inlineStr">
        <is>
          <t>A 28936-2023</t>
        </is>
      </c>
      <c r="B686" t="inlineStr">
        <is>
          <t>avverkningsanmälan</t>
        </is>
      </c>
      <c r="C686" t="inlineStr">
        <is>
          <t>Föryngringsavverkning</t>
        </is>
      </c>
      <c r="D686" s="1" t="n">
        <v>45104</v>
      </c>
      <c r="E686" s="1" t="n">
        <v>46320</v>
      </c>
      <c r="F686" t="inlineStr">
        <is>
          <t>VÄRMLANDS LÄN</t>
        </is>
      </c>
      <c r="G686" t="inlineStr">
        <is>
          <t>EDA</t>
        </is>
      </c>
      <c r="I686" t="n">
        <v>1.7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s="2" t="inlineStr"/>
    </row>
    <row r="687" ht="15" customHeight="1">
      <c r="A687" t="inlineStr">
        <is>
          <t>A 74069-2021</t>
        </is>
      </c>
      <c r="B687" t="inlineStr">
        <is>
          <t>avverkningsanmälan</t>
        </is>
      </c>
      <c r="C687" t="inlineStr">
        <is>
          <t>Föryngringsavverkning</t>
        </is>
      </c>
      <c r="D687" s="1" t="n">
        <v>44557</v>
      </c>
      <c r="E687" s="1" t="n">
        <v>46320</v>
      </c>
      <c r="F687" t="inlineStr">
        <is>
          <t>VÄRMLANDS LÄN</t>
        </is>
      </c>
      <c r="G687" t="inlineStr">
        <is>
          <t>EDA</t>
        </is>
      </c>
      <c r="I687" t="n">
        <v>0.9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s="2" t="inlineStr"/>
    </row>
    <row r="688" ht="15" customHeight="1">
      <c r="A688" t="inlineStr">
        <is>
          <t>A 41743-2023</t>
        </is>
      </c>
      <c r="B688" t="inlineStr">
        <is>
          <t>avverkningsanmälan</t>
        </is>
      </c>
      <c r="C688" t="inlineStr">
        <is>
          <t>Föryngringsavverkning</t>
        </is>
      </c>
      <c r="D688" s="1" t="n">
        <v>45176</v>
      </c>
      <c r="E688" s="1" t="n">
        <v>46320</v>
      </c>
      <c r="F688" t="inlineStr">
        <is>
          <t>VÄRMLANDS LÄN</t>
        </is>
      </c>
      <c r="G688" t="inlineStr">
        <is>
          <t>EDA</t>
        </is>
      </c>
      <c r="I688" t="n">
        <v>2.2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s="2" t="inlineStr"/>
    </row>
    <row r="689" ht="15" customHeight="1">
      <c r="A689" t="inlineStr">
        <is>
          <t>A 54019-2023</t>
        </is>
      </c>
      <c r="B689" t="inlineStr">
        <is>
          <t>avverkningsanmälan</t>
        </is>
      </c>
      <c r="C689" t="inlineStr">
        <is>
          <t>Föryngringsavverkning</t>
        </is>
      </c>
      <c r="D689" s="1" t="n">
        <v>45231</v>
      </c>
      <c r="E689" s="1" t="n">
        <v>46320</v>
      </c>
      <c r="F689" t="inlineStr">
        <is>
          <t>VÄRMLANDS LÄN</t>
        </is>
      </c>
      <c r="G689" t="inlineStr">
        <is>
          <t>EDA</t>
        </is>
      </c>
      <c r="I689" t="n">
        <v>1.6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s="2" t="inlineStr"/>
    </row>
    <row r="690" ht="15" customHeight="1">
      <c r="A690" t="inlineStr">
        <is>
          <t>A 45886-2023</t>
        </is>
      </c>
      <c r="B690" t="inlineStr">
        <is>
          <t>avverkningsanmälan</t>
        </is>
      </c>
      <c r="C690" t="inlineStr">
        <is>
          <t>Föryngringsavverkning</t>
        </is>
      </c>
      <c r="D690" s="1" t="n">
        <v>45195</v>
      </c>
      <c r="E690" s="1" t="n">
        <v>46320</v>
      </c>
      <c r="F690" t="inlineStr">
        <is>
          <t>VÄRMLANDS LÄN</t>
        </is>
      </c>
      <c r="G690" t="inlineStr">
        <is>
          <t>EDA</t>
        </is>
      </c>
      <c r="I690" t="n">
        <v>1.3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s="2" t="inlineStr"/>
    </row>
    <row r="691" ht="15" customHeight="1">
      <c r="A691" t="inlineStr">
        <is>
          <t>A 30500-2023</t>
        </is>
      </c>
      <c r="B691" t="inlineStr">
        <is>
          <t>avverkningsanmälan</t>
        </is>
      </c>
      <c r="C691" t="inlineStr">
        <is>
          <t>Föryngringsavverkning</t>
        </is>
      </c>
      <c r="D691" s="1" t="n">
        <v>45111</v>
      </c>
      <c r="E691" s="1" t="n">
        <v>46320</v>
      </c>
      <c r="F691" t="inlineStr">
        <is>
          <t>VÄRMLANDS LÄN</t>
        </is>
      </c>
      <c r="G691" t="inlineStr">
        <is>
          <t>EDA</t>
        </is>
      </c>
      <c r="I691" t="n">
        <v>2.7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s="2" t="inlineStr"/>
    </row>
    <row r="692" ht="15" customHeight="1">
      <c r="A692" t="inlineStr">
        <is>
          <t>A 52368-2022</t>
        </is>
      </c>
      <c r="B692" t="inlineStr">
        <is>
          <t>avverkningsanmälan</t>
        </is>
      </c>
      <c r="C692" t="inlineStr">
        <is>
          <t>Föryngringsavverkning</t>
        </is>
      </c>
      <c r="D692" s="1" t="n">
        <v>44874</v>
      </c>
      <c r="E692" s="1" t="n">
        <v>46320</v>
      </c>
      <c r="F692" t="inlineStr">
        <is>
          <t>VÄRMLANDS LÄN</t>
        </is>
      </c>
      <c r="G692" t="inlineStr">
        <is>
          <t>EDA</t>
        </is>
      </c>
      <c r="I692" t="n">
        <v>2.5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s="2" t="inlineStr"/>
    </row>
    <row r="693" ht="15" customHeight="1">
      <c r="A693" t="inlineStr">
        <is>
          <t>A 46293-2023</t>
        </is>
      </c>
      <c r="B693" t="inlineStr">
        <is>
          <t>avverkningsanmälan</t>
        </is>
      </c>
      <c r="C693" t="inlineStr">
        <is>
          <t>Föryngringsavverkning</t>
        </is>
      </c>
      <c r="D693" s="1" t="n">
        <v>45197</v>
      </c>
      <c r="E693" s="1" t="n">
        <v>46320</v>
      </c>
      <c r="F693" t="inlineStr">
        <is>
          <t>VÄRMLANDS LÄN</t>
        </is>
      </c>
      <c r="G693" t="inlineStr">
        <is>
          <t>EDA</t>
        </is>
      </c>
      <c r="I693" t="n">
        <v>0.5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s="2" t="inlineStr"/>
    </row>
    <row r="694" ht="15" customHeight="1">
      <c r="A694" t="inlineStr">
        <is>
          <t>A 53961-2024</t>
        </is>
      </c>
      <c r="B694" t="inlineStr">
        <is>
          <t>avverkningsanmälan</t>
        </is>
      </c>
      <c r="C694" t="inlineStr">
        <is>
          <t>Föryngringsavverkning</t>
        </is>
      </c>
      <c r="D694" s="1" t="n">
        <v>45616</v>
      </c>
      <c r="E694" s="1" t="n">
        <v>46320</v>
      </c>
      <c r="F694" t="inlineStr">
        <is>
          <t>VÄRMLANDS LÄN</t>
        </is>
      </c>
      <c r="G694" t="inlineStr">
        <is>
          <t>EDA</t>
        </is>
      </c>
      <c r="I694" t="n">
        <v>0.6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s="2" t="inlineStr"/>
    </row>
    <row r="695" ht="15" customHeight="1">
      <c r="A695" t="inlineStr">
        <is>
          <t>A 57125-2023</t>
        </is>
      </c>
      <c r="B695" t="inlineStr">
        <is>
          <t>avverkningsanmälan</t>
        </is>
      </c>
      <c r="C695" t="inlineStr">
        <is>
          <t>Föryngringsavverkning</t>
        </is>
      </c>
      <c r="D695" s="1" t="n">
        <v>45245</v>
      </c>
      <c r="E695" s="1" t="n">
        <v>46320</v>
      </c>
      <c r="F695" t="inlineStr">
        <is>
          <t>VÄRMLANDS LÄN</t>
        </is>
      </c>
      <c r="G695" t="inlineStr">
        <is>
          <t>EDA</t>
        </is>
      </c>
      <c r="H695" t="inlineStr">
        <is>
          <t>Övriga Aktiebolag</t>
        </is>
      </c>
      <c r="I695" t="n">
        <v>3.3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s="2" t="inlineStr"/>
    </row>
    <row r="696" ht="15" customHeight="1">
      <c r="A696" t="inlineStr">
        <is>
          <t>A 24917-2023</t>
        </is>
      </c>
      <c r="B696" t="inlineStr">
        <is>
          <t>avverkningsanmälan</t>
        </is>
      </c>
      <c r="C696" t="inlineStr">
        <is>
          <t>Föryngringsavverkning</t>
        </is>
      </c>
      <c r="D696" s="1" t="n">
        <v>45085</v>
      </c>
      <c r="E696" s="1" t="n">
        <v>46320</v>
      </c>
      <c r="F696" t="inlineStr">
        <is>
          <t>VÄRMLANDS LÄN</t>
        </is>
      </c>
      <c r="G696" t="inlineStr">
        <is>
          <t>EDA</t>
        </is>
      </c>
      <c r="I696" t="n">
        <v>12.9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s="2" t="inlineStr"/>
    </row>
    <row r="697" ht="15" customHeight="1">
      <c r="A697" t="inlineStr">
        <is>
          <t>A 59278-2023</t>
        </is>
      </c>
      <c r="B697" t="inlineStr">
        <is>
          <t>avverkningsanmälan</t>
        </is>
      </c>
      <c r="C697" t="inlineStr">
        <is>
          <t>Föryngringsavverkning</t>
        </is>
      </c>
      <c r="D697" s="1" t="n">
        <v>45253</v>
      </c>
      <c r="E697" s="1" t="n">
        <v>46320</v>
      </c>
      <c r="F697" t="inlineStr">
        <is>
          <t>VÄRMLANDS LÄN</t>
        </is>
      </c>
      <c r="G697" t="inlineStr">
        <is>
          <t>EDA</t>
        </is>
      </c>
      <c r="I697" t="n">
        <v>2.5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s="2" t="inlineStr"/>
    </row>
    <row r="698" ht="15" customHeight="1">
      <c r="A698" t="inlineStr">
        <is>
          <t>A 4140-2025</t>
        </is>
      </c>
      <c r="B698" t="inlineStr">
        <is>
          <t>avverkningsanmälan</t>
        </is>
      </c>
      <c r="C698" t="inlineStr">
        <is>
          <t>Föryngringsavverkning</t>
        </is>
      </c>
      <c r="D698" s="1" t="n">
        <v>45685</v>
      </c>
      <c r="E698" s="1" t="n">
        <v>46320</v>
      </c>
      <c r="F698" t="inlineStr">
        <is>
          <t>VÄRMLANDS LÄN</t>
        </is>
      </c>
      <c r="G698" t="inlineStr">
        <is>
          <t>EDA</t>
        </is>
      </c>
      <c r="I698" t="n">
        <v>1.8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s="2" t="inlineStr"/>
    </row>
    <row r="699" ht="15" customHeight="1">
      <c r="A699" t="inlineStr">
        <is>
          <t>A 41047-2023</t>
        </is>
      </c>
      <c r="B699" t="inlineStr">
        <is>
          <t>avverkningsanmälan</t>
        </is>
      </c>
      <c r="C699" t="inlineStr">
        <is>
          <t>Föryngringsavverkning</t>
        </is>
      </c>
      <c r="D699" s="1" t="n">
        <v>45173</v>
      </c>
      <c r="E699" s="1" t="n">
        <v>46320</v>
      </c>
      <c r="F699" t="inlineStr">
        <is>
          <t>VÄRMLANDS LÄN</t>
        </is>
      </c>
      <c r="G699" t="inlineStr">
        <is>
          <t>EDA</t>
        </is>
      </c>
      <c r="I699" t="n">
        <v>1.5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s="2" t="inlineStr"/>
    </row>
    <row r="700" ht="15" customHeight="1">
      <c r="A700" t="inlineStr">
        <is>
          <t>A 41051-2023</t>
        </is>
      </c>
      <c r="B700" t="inlineStr">
        <is>
          <t>avverkningsanmälan</t>
        </is>
      </c>
      <c r="C700" t="inlineStr">
        <is>
          <t>Föryngringsavverkning</t>
        </is>
      </c>
      <c r="D700" s="1" t="n">
        <v>45173</v>
      </c>
      <c r="E700" s="1" t="n">
        <v>46320</v>
      </c>
      <c r="F700" t="inlineStr">
        <is>
          <t>VÄRMLANDS LÄN</t>
        </is>
      </c>
      <c r="G700" t="inlineStr">
        <is>
          <t>EDA</t>
        </is>
      </c>
      <c r="I700" t="n">
        <v>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s="2" t="inlineStr"/>
    </row>
    <row r="701" ht="15" customHeight="1">
      <c r="A701" t="inlineStr">
        <is>
          <t>A 37559-2023</t>
        </is>
      </c>
      <c r="B701" t="inlineStr">
        <is>
          <t>avverkningsanmälan</t>
        </is>
      </c>
      <c r="C701" t="inlineStr">
        <is>
          <t>Föryngringsavverkning</t>
        </is>
      </c>
      <c r="D701" s="1" t="n">
        <v>45159</v>
      </c>
      <c r="E701" s="1" t="n">
        <v>46320</v>
      </c>
      <c r="F701" t="inlineStr">
        <is>
          <t>VÄRMLANDS LÄN</t>
        </is>
      </c>
      <c r="G701" t="inlineStr">
        <is>
          <t>EDA</t>
        </is>
      </c>
      <c r="I701" t="n">
        <v>1.7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s="2" t="inlineStr"/>
    </row>
    <row r="702" ht="15" customHeight="1">
      <c r="A702" t="inlineStr">
        <is>
          <t>A 26823-2022</t>
        </is>
      </c>
      <c r="B702" t="inlineStr">
        <is>
          <t>avverkningsanmälan</t>
        </is>
      </c>
      <c r="C702" t="inlineStr">
        <is>
          <t>Föryngringsavverkning</t>
        </is>
      </c>
      <c r="D702" s="1" t="n">
        <v>44740</v>
      </c>
      <c r="E702" s="1" t="n">
        <v>46320</v>
      </c>
      <c r="F702" t="inlineStr">
        <is>
          <t>VÄRMLANDS LÄN</t>
        </is>
      </c>
      <c r="G702" t="inlineStr">
        <is>
          <t>EDA</t>
        </is>
      </c>
      <c r="I702" t="n">
        <v>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s="2" t="inlineStr"/>
    </row>
    <row r="703" ht="15" customHeight="1">
      <c r="A703" t="inlineStr">
        <is>
          <t>A 41417-2023</t>
        </is>
      </c>
      <c r="B703" t="inlineStr">
        <is>
          <t>avverkningsanmälan</t>
        </is>
      </c>
      <c r="C703" t="inlineStr">
        <is>
          <t>Föryngringsavverkning</t>
        </is>
      </c>
      <c r="D703" s="1" t="n">
        <v>45175</v>
      </c>
      <c r="E703" s="1" t="n">
        <v>46320</v>
      </c>
      <c r="F703" t="inlineStr">
        <is>
          <t>VÄRMLANDS LÄN</t>
        </is>
      </c>
      <c r="G703" t="inlineStr">
        <is>
          <t>EDA</t>
        </is>
      </c>
      <c r="I703" t="n">
        <v>1.3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s="2" t="inlineStr"/>
    </row>
    <row r="704" ht="15" customHeight="1">
      <c r="A704" t="inlineStr">
        <is>
          <t>A 27522-2024</t>
        </is>
      </c>
      <c r="B704" t="inlineStr">
        <is>
          <t>avverkningsanmälan</t>
        </is>
      </c>
      <c r="C704" t="inlineStr">
        <is>
          <t>Föryngringsavverkning</t>
        </is>
      </c>
      <c r="D704" s="1" t="n">
        <v>45474</v>
      </c>
      <c r="E704" s="1" t="n">
        <v>46320</v>
      </c>
      <c r="F704" t="inlineStr">
        <is>
          <t>VÄRMLANDS LÄN</t>
        </is>
      </c>
      <c r="G704" t="inlineStr">
        <is>
          <t>EDA</t>
        </is>
      </c>
      <c r="I704" t="n">
        <v>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s="2" t="inlineStr"/>
    </row>
    <row r="705" ht="15" customHeight="1">
      <c r="A705" t="inlineStr">
        <is>
          <t>A 711-2024</t>
        </is>
      </c>
      <c r="B705" t="inlineStr">
        <is>
          <t>avverkningsanmälan</t>
        </is>
      </c>
      <c r="C705" t="inlineStr">
        <is>
          <t>Avverkning för annat ändamål</t>
        </is>
      </c>
      <c r="D705" s="1" t="n">
        <v>45300</v>
      </c>
      <c r="E705" s="1" t="n">
        <v>46320</v>
      </c>
      <c r="F705" t="inlineStr">
        <is>
          <t>VÄRMLANDS LÄN</t>
        </is>
      </c>
      <c r="G705" t="inlineStr">
        <is>
          <t>EDA</t>
        </is>
      </c>
      <c r="I705" t="n">
        <v>0.7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s="2" t="inlineStr"/>
    </row>
    <row r="706" ht="15" customHeight="1">
      <c r="A706" t="inlineStr">
        <is>
          <t>A 62333-2023</t>
        </is>
      </c>
      <c r="B706" t="inlineStr">
        <is>
          <t>avverkningsanmälan</t>
        </is>
      </c>
      <c r="C706" t="inlineStr">
        <is>
          <t>Föryngringsavverkning</t>
        </is>
      </c>
      <c r="D706" s="1" t="n">
        <v>45267</v>
      </c>
      <c r="E706" s="1" t="n">
        <v>46320</v>
      </c>
      <c r="F706" t="inlineStr">
        <is>
          <t>VÄRMLANDS LÄN</t>
        </is>
      </c>
      <c r="G706" t="inlineStr">
        <is>
          <t>EDA</t>
        </is>
      </c>
      <c r="I706" t="n">
        <v>1.5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s="2" t="inlineStr"/>
    </row>
    <row r="707" ht="15" customHeight="1">
      <c r="A707" t="inlineStr">
        <is>
          <t>A 64287-2023</t>
        </is>
      </c>
      <c r="B707" t="inlineStr">
        <is>
          <t>avverkningsanmälan</t>
        </is>
      </c>
      <c r="C707" t="inlineStr">
        <is>
          <t>Föryngringsavverkning</t>
        </is>
      </c>
      <c r="D707" s="1" t="n">
        <v>45279</v>
      </c>
      <c r="E707" s="1" t="n">
        <v>46320</v>
      </c>
      <c r="F707" t="inlineStr">
        <is>
          <t>VÄRMLANDS LÄN</t>
        </is>
      </c>
      <c r="G707" t="inlineStr">
        <is>
          <t>EDA</t>
        </is>
      </c>
      <c r="I707" t="n">
        <v>1.8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s="2" t="inlineStr"/>
    </row>
    <row r="708" ht="15" customHeight="1">
      <c r="A708" t="inlineStr">
        <is>
          <t>A 62173-2023</t>
        </is>
      </c>
      <c r="B708" t="inlineStr">
        <is>
          <t>avverkningsanmälan</t>
        </is>
      </c>
      <c r="C708" t="inlineStr">
        <is>
          <t>Föryngringsavverkning</t>
        </is>
      </c>
      <c r="D708" s="1" t="n">
        <v>45267</v>
      </c>
      <c r="E708" s="1" t="n">
        <v>46320</v>
      </c>
      <c r="F708" t="inlineStr">
        <is>
          <t>VÄRMLANDS LÄN</t>
        </is>
      </c>
      <c r="G708" t="inlineStr">
        <is>
          <t>EDA</t>
        </is>
      </c>
      <c r="I708" t="n">
        <v>1.2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s="2" t="inlineStr"/>
    </row>
    <row r="709" ht="15" customHeight="1">
      <c r="A709" t="inlineStr">
        <is>
          <t>A 21260-2024</t>
        </is>
      </c>
      <c r="B709" t="inlineStr">
        <is>
          <t>avverkningsanmälan</t>
        </is>
      </c>
      <c r="C709" t="inlineStr">
        <is>
          <t>Föryngringsavverkning</t>
        </is>
      </c>
      <c r="D709" s="1" t="n">
        <v>45440</v>
      </c>
      <c r="E709" s="1" t="n">
        <v>46320</v>
      </c>
      <c r="F709" t="inlineStr">
        <is>
          <t>VÄRMLANDS LÄN</t>
        </is>
      </c>
      <c r="G709" t="inlineStr">
        <is>
          <t>EDA</t>
        </is>
      </c>
      <c r="I709" t="n">
        <v>5.8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s="2" t="inlineStr"/>
    </row>
    <row r="710" ht="15" customHeight="1">
      <c r="A710" t="inlineStr">
        <is>
          <t>A 11102-2025</t>
        </is>
      </c>
      <c r="B710" t="inlineStr">
        <is>
          <t>avverkningsanmälan</t>
        </is>
      </c>
      <c r="C710" t="inlineStr">
        <is>
          <t>Föryngringsavverkning</t>
        </is>
      </c>
      <c r="D710" s="1" t="n">
        <v>45723</v>
      </c>
      <c r="E710" s="1" t="n">
        <v>46320</v>
      </c>
      <c r="F710" t="inlineStr">
        <is>
          <t>VÄRMLANDS LÄN</t>
        </is>
      </c>
      <c r="G710" t="inlineStr">
        <is>
          <t>EDA</t>
        </is>
      </c>
      <c r="I710" t="n">
        <v>16.5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s="2" t="inlineStr"/>
    </row>
    <row r="711" ht="15" customHeight="1">
      <c r="A711" t="inlineStr">
        <is>
          <t>A 60893-2023</t>
        </is>
      </c>
      <c r="B711" t="inlineStr">
        <is>
          <t>avverkningsanmälan</t>
        </is>
      </c>
      <c r="C711" t="inlineStr">
        <is>
          <t>Föryngringsavverkning</t>
        </is>
      </c>
      <c r="D711" s="1" t="n">
        <v>45261</v>
      </c>
      <c r="E711" s="1" t="n">
        <v>46320</v>
      </c>
      <c r="F711" t="inlineStr">
        <is>
          <t>VÄRMLANDS LÄN</t>
        </is>
      </c>
      <c r="G711" t="inlineStr">
        <is>
          <t>EDA</t>
        </is>
      </c>
      <c r="I711" t="n">
        <v>5.6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s="2" t="inlineStr"/>
    </row>
    <row r="712" ht="15" customHeight="1">
      <c r="A712" t="inlineStr">
        <is>
          <t>A 61546-2023</t>
        </is>
      </c>
      <c r="B712" t="inlineStr">
        <is>
          <t>avverkningsanmälan</t>
        </is>
      </c>
      <c r="C712" t="inlineStr">
        <is>
          <t>Föryngringsavverkning</t>
        </is>
      </c>
      <c r="D712" s="1" t="n">
        <v>45265</v>
      </c>
      <c r="E712" s="1" t="n">
        <v>46320</v>
      </c>
      <c r="F712" t="inlineStr">
        <is>
          <t>VÄRMLANDS LÄN</t>
        </is>
      </c>
      <c r="G712" t="inlineStr">
        <is>
          <t>EDA</t>
        </is>
      </c>
      <c r="I712" t="n">
        <v>12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s="2" t="inlineStr"/>
    </row>
    <row r="713" ht="15" customHeight="1">
      <c r="A713" t="inlineStr">
        <is>
          <t>A 14972-2023</t>
        </is>
      </c>
      <c r="B713" t="inlineStr">
        <is>
          <t>avverkningsanmälan</t>
        </is>
      </c>
      <c r="C713" t="inlineStr">
        <is>
          <t>Föryngringsavverkning</t>
        </is>
      </c>
      <c r="D713" s="1" t="n">
        <v>45015</v>
      </c>
      <c r="E713" s="1" t="n">
        <v>46320</v>
      </c>
      <c r="F713" t="inlineStr">
        <is>
          <t>VÄRMLANDS LÄN</t>
        </is>
      </c>
      <c r="G713" t="inlineStr">
        <is>
          <t>EDA</t>
        </is>
      </c>
      <c r="I713" t="n">
        <v>13.5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s="2" t="inlineStr"/>
    </row>
    <row r="714" ht="15" customHeight="1">
      <c r="A714" t="inlineStr">
        <is>
          <t>A 44694-2022</t>
        </is>
      </c>
      <c r="B714" t="inlineStr">
        <is>
          <t>avverkningsanmälan</t>
        </is>
      </c>
      <c r="C714" t="inlineStr">
        <is>
          <t>Föryngringsavverkning</t>
        </is>
      </c>
      <c r="D714" s="1" t="n">
        <v>44840</v>
      </c>
      <c r="E714" s="1" t="n">
        <v>46320</v>
      </c>
      <c r="F714" t="inlineStr">
        <is>
          <t>VÄRMLANDS LÄN</t>
        </is>
      </c>
      <c r="G714" t="inlineStr">
        <is>
          <t>EDA</t>
        </is>
      </c>
      <c r="I714" t="n">
        <v>1.1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s="2" t="inlineStr"/>
    </row>
    <row r="715" ht="15" customHeight="1">
      <c r="A715" t="inlineStr">
        <is>
          <t>A 51778-2022</t>
        </is>
      </c>
      <c r="B715" t="inlineStr">
        <is>
          <t>avverkningsanmälan</t>
        </is>
      </c>
      <c r="C715" t="inlineStr">
        <is>
          <t>Föryngringsavverkning</t>
        </is>
      </c>
      <c r="D715" s="1" t="n">
        <v>44872</v>
      </c>
      <c r="E715" s="1" t="n">
        <v>46320</v>
      </c>
      <c r="F715" t="inlineStr">
        <is>
          <t>VÄRMLANDS LÄN</t>
        </is>
      </c>
      <c r="G715" t="inlineStr">
        <is>
          <t>EDA</t>
        </is>
      </c>
      <c r="I715" t="n">
        <v>1.9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s="2" t="inlineStr"/>
    </row>
    <row r="716" ht="15" customHeight="1">
      <c r="A716" t="inlineStr">
        <is>
          <t>A 63040-2023</t>
        </is>
      </c>
      <c r="B716" t="inlineStr">
        <is>
          <t>avverkningsanmälan</t>
        </is>
      </c>
      <c r="C716" t="inlineStr">
        <is>
          <t>Föryngringsavverkning</t>
        </is>
      </c>
      <c r="D716" s="1" t="n">
        <v>45272</v>
      </c>
      <c r="E716" s="1" t="n">
        <v>46320</v>
      </c>
      <c r="F716" t="inlineStr">
        <is>
          <t>VÄRMLANDS LÄN</t>
        </is>
      </c>
      <c r="G716" t="inlineStr">
        <is>
          <t>EDA</t>
        </is>
      </c>
      <c r="I716" t="n">
        <v>3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s="2" t="inlineStr"/>
    </row>
    <row r="717" ht="15" customHeight="1">
      <c r="A717" t="inlineStr">
        <is>
          <t>A 862-2024</t>
        </is>
      </c>
      <c r="B717" t="inlineStr">
        <is>
          <t>avverkningsanmälan</t>
        </is>
      </c>
      <c r="C717" t="inlineStr">
        <is>
          <t>Föryngringsavverkning</t>
        </is>
      </c>
      <c r="D717" s="1" t="n">
        <v>45301</v>
      </c>
      <c r="E717" s="1" t="n">
        <v>46320</v>
      </c>
      <c r="F717" t="inlineStr">
        <is>
          <t>VÄRMLANDS LÄN</t>
        </is>
      </c>
      <c r="G717" t="inlineStr">
        <is>
          <t>EDA</t>
        </is>
      </c>
      <c r="I717" t="n">
        <v>0.8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s="2" t="inlineStr"/>
    </row>
    <row r="718" ht="15" customHeight="1">
      <c r="A718" t="inlineStr">
        <is>
          <t>A 25444-2023</t>
        </is>
      </c>
      <c r="B718" t="inlineStr">
        <is>
          <t>avverkningsanmälan</t>
        </is>
      </c>
      <c r="C718" t="inlineStr">
        <is>
          <t>Föryngringsavverkning</t>
        </is>
      </c>
      <c r="D718" s="1" t="n">
        <v>45089</v>
      </c>
      <c r="E718" s="1" t="n">
        <v>46320</v>
      </c>
      <c r="F718" t="inlineStr">
        <is>
          <t>VÄRMLANDS LÄN</t>
        </is>
      </c>
      <c r="G718" t="inlineStr">
        <is>
          <t>EDA</t>
        </is>
      </c>
      <c r="I718" t="n">
        <v>1.4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s="2" t="inlineStr"/>
    </row>
    <row r="719" ht="15" customHeight="1">
      <c r="A719" t="inlineStr">
        <is>
          <t>A 2265-2024</t>
        </is>
      </c>
      <c r="B719" t="inlineStr">
        <is>
          <t>avverkningsanmälan</t>
        </is>
      </c>
      <c r="C719" t="inlineStr">
        <is>
          <t>Föryngringsavverkning</t>
        </is>
      </c>
      <c r="D719" s="1" t="n">
        <v>45310</v>
      </c>
      <c r="E719" s="1" t="n">
        <v>46320</v>
      </c>
      <c r="F719" t="inlineStr">
        <is>
          <t>VÄRMLANDS LÄN</t>
        </is>
      </c>
      <c r="G719" t="inlineStr">
        <is>
          <t>EDA</t>
        </is>
      </c>
      <c r="I719" t="n">
        <v>0.7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s="2" t="inlineStr"/>
    </row>
    <row r="720" ht="15" customHeight="1">
      <c r="A720" t="inlineStr">
        <is>
          <t>A 63488-2023</t>
        </is>
      </c>
      <c r="B720" t="inlineStr">
        <is>
          <t>avverkningsanmälan</t>
        </is>
      </c>
      <c r="C720" t="inlineStr">
        <is>
          <t>Föryngringsavverkning</t>
        </is>
      </c>
      <c r="D720" s="1" t="n">
        <v>45274</v>
      </c>
      <c r="E720" s="1" t="n">
        <v>46320</v>
      </c>
      <c r="F720" t="inlineStr">
        <is>
          <t>VÄRMLANDS LÄN</t>
        </is>
      </c>
      <c r="G720" t="inlineStr">
        <is>
          <t>EDA</t>
        </is>
      </c>
      <c r="I720" t="n">
        <v>2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s="2" t="inlineStr"/>
    </row>
    <row r="721" ht="15" customHeight="1">
      <c r="A721" t="inlineStr">
        <is>
          <t>A 20-2024</t>
        </is>
      </c>
      <c r="B721" t="inlineStr">
        <is>
          <t>avverkningsanmälan</t>
        </is>
      </c>
      <c r="C721" t="inlineStr">
        <is>
          <t>Föryngringsavverkning</t>
        </is>
      </c>
      <c r="D721" s="1" t="n">
        <v>45293</v>
      </c>
      <c r="E721" s="1" t="n">
        <v>46320</v>
      </c>
      <c r="F721" t="inlineStr">
        <is>
          <t>VÄRMLANDS LÄN</t>
        </is>
      </c>
      <c r="G721" t="inlineStr">
        <is>
          <t>EDA</t>
        </is>
      </c>
      <c r="I721" t="n">
        <v>0.9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s="2" t="inlineStr"/>
    </row>
    <row r="722" ht="15" customHeight="1">
      <c r="A722" t="inlineStr">
        <is>
          <t>A 15009-2025</t>
        </is>
      </c>
      <c r="B722" t="inlineStr">
        <is>
          <t>avverkningsanmälan</t>
        </is>
      </c>
      <c r="C722" t="inlineStr">
        <is>
          <t>Föryngringsavverkning</t>
        </is>
      </c>
      <c r="D722" s="1" t="n">
        <v>45743</v>
      </c>
      <c r="E722" s="1" t="n">
        <v>46320</v>
      </c>
      <c r="F722" t="inlineStr">
        <is>
          <t>VÄRMLANDS LÄN</t>
        </is>
      </c>
      <c r="G722" t="inlineStr">
        <is>
          <t>EDA</t>
        </is>
      </c>
      <c r="I722" t="n">
        <v>1.6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s="2" t="inlineStr"/>
    </row>
    <row r="723" ht="15" customHeight="1">
      <c r="A723" t="inlineStr">
        <is>
          <t>A 25813-2023</t>
        </is>
      </c>
      <c r="B723" t="inlineStr">
        <is>
          <t>avverkningsanmälan</t>
        </is>
      </c>
      <c r="C723" t="inlineStr">
        <is>
          <t>Föryngringsavverkning</t>
        </is>
      </c>
      <c r="D723" s="1" t="n">
        <v>45090</v>
      </c>
      <c r="E723" s="1" t="n">
        <v>46320</v>
      </c>
      <c r="F723" t="inlineStr">
        <is>
          <t>VÄRMLANDS LÄN</t>
        </is>
      </c>
      <c r="G723" t="inlineStr">
        <is>
          <t>EDA</t>
        </is>
      </c>
      <c r="I723" t="n">
        <v>6.4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s="2" t="inlineStr"/>
    </row>
    <row r="724" ht="15" customHeight="1">
      <c r="A724" t="inlineStr">
        <is>
          <t>A 35306-2022</t>
        </is>
      </c>
      <c r="B724" t="inlineStr">
        <is>
          <t>avverkningsanmälan</t>
        </is>
      </c>
      <c r="C724" t="inlineStr">
        <is>
          <t>Föryngringsavverkning</t>
        </is>
      </c>
      <c r="D724" s="1" t="n">
        <v>44798</v>
      </c>
      <c r="E724" s="1" t="n">
        <v>46320</v>
      </c>
      <c r="F724" t="inlineStr">
        <is>
          <t>VÄRMLANDS LÄN</t>
        </is>
      </c>
      <c r="G724" t="inlineStr">
        <is>
          <t>EDA</t>
        </is>
      </c>
      <c r="I724" t="n">
        <v>1.1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s="2" t="inlineStr"/>
    </row>
    <row r="725" ht="15" customHeight="1">
      <c r="A725" t="inlineStr">
        <is>
          <t>A 19520-2022</t>
        </is>
      </c>
      <c r="B725" t="inlineStr">
        <is>
          <t>avverkningsanmälan</t>
        </is>
      </c>
      <c r="C725" t="inlineStr">
        <is>
          <t>Föryngringsavverkning</t>
        </is>
      </c>
      <c r="D725" s="1" t="n">
        <v>44693</v>
      </c>
      <c r="E725" s="1" t="n">
        <v>46320</v>
      </c>
      <c r="F725" t="inlineStr">
        <is>
          <t>VÄRMLANDS LÄN</t>
        </is>
      </c>
      <c r="G725" t="inlineStr">
        <is>
          <t>EDA</t>
        </is>
      </c>
      <c r="I725" t="n">
        <v>5.6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s="2" t="inlineStr"/>
    </row>
    <row r="726" ht="15" customHeight="1">
      <c r="A726" t="inlineStr">
        <is>
          <t>A 33847-2024</t>
        </is>
      </c>
      <c r="B726" t="inlineStr">
        <is>
          <t>avverkningsanmälan</t>
        </is>
      </c>
      <c r="C726" t="inlineStr">
        <is>
          <t>Föryngringsavverkning</t>
        </is>
      </c>
      <c r="D726" s="1" t="n">
        <v>45520</v>
      </c>
      <c r="E726" s="1" t="n">
        <v>46320</v>
      </c>
      <c r="F726" t="inlineStr">
        <is>
          <t>VÄRMLANDS LÄN</t>
        </is>
      </c>
      <c r="G726" t="inlineStr">
        <is>
          <t>EDA</t>
        </is>
      </c>
      <c r="I726" t="n">
        <v>2.6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s="2" t="inlineStr"/>
    </row>
    <row r="727" ht="15" customHeight="1">
      <c r="A727" t="inlineStr">
        <is>
          <t>A 57355-2022</t>
        </is>
      </c>
      <c r="B727" t="inlineStr">
        <is>
          <t>avverkningsanmälan</t>
        </is>
      </c>
      <c r="C727" t="inlineStr">
        <is>
          <t>Föryngringsavverkning</t>
        </is>
      </c>
      <c r="D727" s="1" t="n">
        <v>44896</v>
      </c>
      <c r="E727" s="1" t="n">
        <v>46320</v>
      </c>
      <c r="F727" t="inlineStr">
        <is>
          <t>VÄRMLANDS LÄN</t>
        </is>
      </c>
      <c r="G727" t="inlineStr">
        <is>
          <t>EDA</t>
        </is>
      </c>
      <c r="I727" t="n">
        <v>0.6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s="2" t="inlineStr"/>
    </row>
    <row r="728" ht="15" customHeight="1">
      <c r="A728" t="inlineStr">
        <is>
          <t>A 65250-2023</t>
        </is>
      </c>
      <c r="B728" t="inlineStr">
        <is>
          <t>avverkningsanmälan</t>
        </is>
      </c>
      <c r="C728" t="inlineStr">
        <is>
          <t>Föryngringsavverkning</t>
        </is>
      </c>
      <c r="D728" s="1" t="n">
        <v>45290</v>
      </c>
      <c r="E728" s="1" t="n">
        <v>46320</v>
      </c>
      <c r="F728" t="inlineStr">
        <is>
          <t>VÄRMLANDS LÄN</t>
        </is>
      </c>
      <c r="G728" t="inlineStr">
        <is>
          <t>EDA</t>
        </is>
      </c>
      <c r="I728" t="n">
        <v>4.1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s="2" t="inlineStr"/>
    </row>
    <row r="729" ht="15" customHeight="1">
      <c r="A729" t="inlineStr">
        <is>
          <t>A 65251-2023</t>
        </is>
      </c>
      <c r="B729" t="inlineStr">
        <is>
          <t>avverkningsanmälan</t>
        </is>
      </c>
      <c r="C729" t="inlineStr">
        <is>
          <t>Föryngringsavverkning</t>
        </is>
      </c>
      <c r="D729" s="1" t="n">
        <v>45290</v>
      </c>
      <c r="E729" s="1" t="n">
        <v>46320</v>
      </c>
      <c r="F729" t="inlineStr">
        <is>
          <t>VÄRMLANDS LÄN</t>
        </is>
      </c>
      <c r="G729" t="inlineStr">
        <is>
          <t>EDA</t>
        </is>
      </c>
      <c r="I729" t="n">
        <v>2.5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s="2" t="inlineStr"/>
    </row>
    <row r="730" ht="15" customHeight="1">
      <c r="A730" t="inlineStr">
        <is>
          <t>A 12725-2025</t>
        </is>
      </c>
      <c r="B730" t="inlineStr">
        <is>
          <t>avverkningsanmälan</t>
        </is>
      </c>
      <c r="C730" t="inlineStr">
        <is>
          <t>Föryngringsavverkning</t>
        </is>
      </c>
      <c r="D730" s="1" t="n">
        <v>45733</v>
      </c>
      <c r="E730" s="1" t="n">
        <v>46320</v>
      </c>
      <c r="F730" t="inlineStr">
        <is>
          <t>VÄRMLANDS LÄN</t>
        </is>
      </c>
      <c r="G730" t="inlineStr">
        <is>
          <t>EDA</t>
        </is>
      </c>
      <c r="I730" t="n">
        <v>3.3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s="2" t="inlineStr"/>
    </row>
    <row r="731" ht="15" customHeight="1">
      <c r="A731" t="inlineStr">
        <is>
          <t>A 59270-2022</t>
        </is>
      </c>
      <c r="B731" t="inlineStr">
        <is>
          <t>avverkningsanmälan</t>
        </is>
      </c>
      <c r="C731" t="inlineStr">
        <is>
          <t>Föryngringsavverkning</t>
        </is>
      </c>
      <c r="D731" s="1" t="n">
        <v>44904</v>
      </c>
      <c r="E731" s="1" t="n">
        <v>46320</v>
      </c>
      <c r="F731" t="inlineStr">
        <is>
          <t>VÄRMLANDS LÄN</t>
        </is>
      </c>
      <c r="G731" t="inlineStr">
        <is>
          <t>EDA</t>
        </is>
      </c>
      <c r="I731" t="n">
        <v>7.2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s="2" t="inlineStr"/>
    </row>
    <row r="732" ht="15" customHeight="1">
      <c r="A732" t="inlineStr">
        <is>
          <t>A 38505-2024</t>
        </is>
      </c>
      <c r="B732" t="inlineStr">
        <is>
          <t>avverkningsanmälan</t>
        </is>
      </c>
      <c r="C732" t="inlineStr">
        <is>
          <t>Avverkning för annat ändamål</t>
        </is>
      </c>
      <c r="D732" s="1" t="n">
        <v>45546</v>
      </c>
      <c r="E732" s="1" t="n">
        <v>46320</v>
      </c>
      <c r="F732" t="inlineStr">
        <is>
          <t>VÄRMLANDS LÄN</t>
        </is>
      </c>
      <c r="G732" t="inlineStr">
        <is>
          <t>EDA</t>
        </is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s="2" t="inlineStr"/>
    </row>
    <row r="733" ht="15" customHeight="1">
      <c r="A733" t="inlineStr">
        <is>
          <t>A 389-2024</t>
        </is>
      </c>
      <c r="B733" t="inlineStr">
        <is>
          <t>avverkningsanmälan</t>
        </is>
      </c>
      <c r="C733" t="inlineStr">
        <is>
          <t>Föryngringsavverkning</t>
        </is>
      </c>
      <c r="D733" s="1" t="n">
        <v>45296</v>
      </c>
      <c r="E733" s="1" t="n">
        <v>46320</v>
      </c>
      <c r="F733" t="inlineStr">
        <is>
          <t>VÄRMLANDS LÄN</t>
        </is>
      </c>
      <c r="G733" t="inlineStr">
        <is>
          <t>EDA</t>
        </is>
      </c>
      <c r="I733" t="n">
        <v>1.2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s="2" t="inlineStr"/>
    </row>
    <row r="734" ht="15" customHeight="1">
      <c r="A734" t="inlineStr">
        <is>
          <t>A 1928-2022</t>
        </is>
      </c>
      <c r="B734" t="inlineStr">
        <is>
          <t>avverkningsanmälan</t>
        </is>
      </c>
      <c r="C734" t="inlineStr">
        <is>
          <t>Föryngringsavverkning</t>
        </is>
      </c>
      <c r="D734" s="1" t="n">
        <v>44575</v>
      </c>
      <c r="E734" s="1" t="n">
        <v>46320</v>
      </c>
      <c r="F734" t="inlineStr">
        <is>
          <t>VÄRMLANDS LÄN</t>
        </is>
      </c>
      <c r="G734" t="inlineStr">
        <is>
          <t>EDA</t>
        </is>
      </c>
      <c r="I734" t="n">
        <v>7.5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s="2" t="inlineStr"/>
    </row>
    <row r="735" ht="15" customHeight="1">
      <c r="A735" t="inlineStr">
        <is>
          <t>A 57866-2022</t>
        </is>
      </c>
      <c r="B735" t="inlineStr">
        <is>
          <t>avverkningsanmälan</t>
        </is>
      </c>
      <c r="C735" t="inlineStr">
        <is>
          <t>Föryngringsavverkning</t>
        </is>
      </c>
      <c r="D735" s="1" t="n">
        <v>44899</v>
      </c>
      <c r="E735" s="1" t="n">
        <v>46320</v>
      </c>
      <c r="F735" t="inlineStr">
        <is>
          <t>VÄRMLANDS LÄN</t>
        </is>
      </c>
      <c r="G735" t="inlineStr">
        <is>
          <t>EDA</t>
        </is>
      </c>
      <c r="I735" t="n">
        <v>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s="2" t="inlineStr"/>
    </row>
    <row r="736" ht="15" customHeight="1">
      <c r="A736" t="inlineStr">
        <is>
          <t>A 3568-2025</t>
        </is>
      </c>
      <c r="B736" t="inlineStr">
        <is>
          <t>avverkningsanmälan</t>
        </is>
      </c>
      <c r="C736" t="inlineStr">
        <is>
          <t>Föryngringsavverkning</t>
        </is>
      </c>
      <c r="D736" s="1" t="n">
        <v>45680</v>
      </c>
      <c r="E736" s="1" t="n">
        <v>46320</v>
      </c>
      <c r="F736" t="inlineStr">
        <is>
          <t>VÄRMLANDS LÄN</t>
        </is>
      </c>
      <c r="G736" t="inlineStr">
        <is>
          <t>EDA</t>
        </is>
      </c>
      <c r="I736" t="n">
        <v>1.9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s="2" t="inlineStr"/>
    </row>
    <row r="737" ht="15" customHeight="1">
      <c r="A737" t="inlineStr">
        <is>
          <t>A 1405-2022</t>
        </is>
      </c>
      <c r="B737" t="inlineStr">
        <is>
          <t>avverkningsanmälan</t>
        </is>
      </c>
      <c r="C737" t="inlineStr">
        <is>
          <t>Föryngringsavverkning</t>
        </is>
      </c>
      <c r="D737" s="1" t="n">
        <v>44573</v>
      </c>
      <c r="E737" s="1" t="n">
        <v>46320</v>
      </c>
      <c r="F737" t="inlineStr">
        <is>
          <t>VÄRMLANDS LÄN</t>
        </is>
      </c>
      <c r="G737" t="inlineStr">
        <is>
          <t>EDA</t>
        </is>
      </c>
      <c r="I737" t="n">
        <v>2.6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s="2" t="inlineStr"/>
    </row>
    <row r="738" ht="15" customHeight="1">
      <c r="A738" t="inlineStr">
        <is>
          <t>A 13494-2025</t>
        </is>
      </c>
      <c r="B738" t="inlineStr">
        <is>
          <t>avverkningsanmälan</t>
        </is>
      </c>
      <c r="C738" t="inlineStr">
        <is>
          <t>Föryngringsavverkning</t>
        </is>
      </c>
      <c r="D738" s="1" t="n">
        <v>45736</v>
      </c>
      <c r="E738" s="1" t="n">
        <v>46320</v>
      </c>
      <c r="F738" t="inlineStr">
        <is>
          <t>VÄRMLANDS LÄN</t>
        </is>
      </c>
      <c r="G738" t="inlineStr">
        <is>
          <t>EDA</t>
        </is>
      </c>
      <c r="I738" t="n">
        <v>0.7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s="2" t="inlineStr"/>
    </row>
    <row r="739" ht="15" customHeight="1">
      <c r="A739" t="inlineStr">
        <is>
          <t>A 6321-2024</t>
        </is>
      </c>
      <c r="B739" t="inlineStr">
        <is>
          <t>avverkningsanmälan</t>
        </is>
      </c>
      <c r="C739" t="inlineStr">
        <is>
          <t>Avverkning för annat ändamål</t>
        </is>
      </c>
      <c r="D739" s="1" t="n">
        <v>45338</v>
      </c>
      <c r="E739" s="1" t="n">
        <v>46320</v>
      </c>
      <c r="F739" t="inlineStr">
        <is>
          <t>VÄRMLANDS LÄN</t>
        </is>
      </c>
      <c r="G739" t="inlineStr">
        <is>
          <t>EDA</t>
        </is>
      </c>
      <c r="I739" t="n">
        <v>0.1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s="2" t="inlineStr"/>
    </row>
    <row r="740" ht="15" customHeight="1">
      <c r="A740" t="inlineStr">
        <is>
          <t>A 12113-2023</t>
        </is>
      </c>
      <c r="B740" t="inlineStr">
        <is>
          <t>avverkningsanmälan</t>
        </is>
      </c>
      <c r="C740" t="inlineStr">
        <is>
          <t>Föryngringsavverkning</t>
        </is>
      </c>
      <c r="D740" s="1" t="n">
        <v>44998</v>
      </c>
      <c r="E740" s="1" t="n">
        <v>46320</v>
      </c>
      <c r="F740" t="inlineStr">
        <is>
          <t>VÄRMLANDS LÄN</t>
        </is>
      </c>
      <c r="G740" t="inlineStr">
        <is>
          <t>EDA</t>
        </is>
      </c>
      <c r="I740" t="n">
        <v>2.9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s="2" t="inlineStr"/>
    </row>
    <row r="741" ht="15" customHeight="1">
      <c r="A741" t="inlineStr">
        <is>
          <t>A 55465-2022</t>
        </is>
      </c>
      <c r="B741" t="inlineStr">
        <is>
          <t>avverkningsanmälan</t>
        </is>
      </c>
      <c r="C741" t="inlineStr">
        <is>
          <t>Föryngringsavverkning</t>
        </is>
      </c>
      <c r="D741" s="1" t="n">
        <v>44887</v>
      </c>
      <c r="E741" s="1" t="n">
        <v>46320</v>
      </c>
      <c r="F741" t="inlineStr">
        <is>
          <t>VÄRMLANDS LÄN</t>
        </is>
      </c>
      <c r="G741" t="inlineStr">
        <is>
          <t>EDA</t>
        </is>
      </c>
      <c r="I741" t="n">
        <v>5.7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s="2" t="inlineStr"/>
    </row>
    <row r="742" ht="15" customHeight="1">
      <c r="A742" t="inlineStr">
        <is>
          <t>A 34378-2024</t>
        </is>
      </c>
      <c r="B742" t="inlineStr">
        <is>
          <t>avverkningsanmälan</t>
        </is>
      </c>
      <c r="C742" t="inlineStr">
        <is>
          <t>Föryngringsavverkning</t>
        </is>
      </c>
      <c r="D742" s="1" t="n">
        <v>45525</v>
      </c>
      <c r="E742" s="1" t="n">
        <v>46320</v>
      </c>
      <c r="F742" t="inlineStr">
        <is>
          <t>VÄRMLANDS LÄN</t>
        </is>
      </c>
      <c r="G742" t="inlineStr">
        <is>
          <t>EDA</t>
        </is>
      </c>
      <c r="I742" t="n">
        <v>0.7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s="2" t="inlineStr"/>
    </row>
    <row r="743" ht="15" customHeight="1">
      <c r="A743" t="inlineStr">
        <is>
          <t>A 61104-2023</t>
        </is>
      </c>
      <c r="B743" t="inlineStr">
        <is>
          <t>avverkningsanmälan</t>
        </is>
      </c>
      <c r="C743" t="inlineStr">
        <is>
          <t>Föryngringsavverkning</t>
        </is>
      </c>
      <c r="D743" s="1" t="n">
        <v>45261</v>
      </c>
      <c r="E743" s="1" t="n">
        <v>46320</v>
      </c>
      <c r="F743" t="inlineStr">
        <is>
          <t>VÄRMLANDS LÄN</t>
        </is>
      </c>
      <c r="G743" t="inlineStr">
        <is>
          <t>EDA</t>
        </is>
      </c>
      <c r="I743" t="n">
        <v>1.3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s="2" t="inlineStr"/>
    </row>
    <row r="744" ht="15" customHeight="1">
      <c r="A744" t="inlineStr">
        <is>
          <t>S 299-2022</t>
        </is>
      </c>
      <c r="B744" t="inlineStr">
        <is>
          <t>samrådsanmälan</t>
        </is>
      </c>
      <c r="C744" t="inlineStr">
        <is>
          <t>Skogsgödsling</t>
        </is>
      </c>
      <c r="D744" s="1" t="n">
        <v>44579</v>
      </c>
      <c r="E744" s="1" t="n">
        <v>46320</v>
      </c>
      <c r="F744" t="inlineStr">
        <is>
          <t>VÄRMLANDS LÄN</t>
        </is>
      </c>
      <c r="G744" t="inlineStr">
        <is>
          <t>EDA</t>
        </is>
      </c>
      <c r="H744" t="inlineStr">
        <is>
          <t>Bergvik skog väst AB</t>
        </is>
      </c>
      <c r="I744" t="n">
        <v>21.5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s="2" t="inlineStr"/>
    </row>
    <row r="745" ht="15" customHeight="1">
      <c r="A745" t="inlineStr">
        <is>
          <t>S 6812-2022</t>
        </is>
      </c>
      <c r="B745" t="inlineStr">
        <is>
          <t>samrådsanmälan</t>
        </is>
      </c>
      <c r="C745" t="inlineStr">
        <is>
          <t>Skogsgödsling</t>
        </is>
      </c>
      <c r="D745" s="1" t="n">
        <v>44893</v>
      </c>
      <c r="E745" s="1" t="n">
        <v>46320</v>
      </c>
      <c r="F745" t="inlineStr">
        <is>
          <t>VÄRMLANDS LÄN</t>
        </is>
      </c>
      <c r="G745" t="inlineStr">
        <is>
          <t>EDA</t>
        </is>
      </c>
      <c r="H745" t="inlineStr">
        <is>
          <t>Bergvik skog väst AB</t>
        </is>
      </c>
      <c r="I745" t="n">
        <v>50.5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s="2" t="inlineStr"/>
    </row>
    <row r="746" ht="15" customHeight="1">
      <c r="A746" t="inlineStr">
        <is>
          <t>S 6810-2022</t>
        </is>
      </c>
      <c r="B746" t="inlineStr">
        <is>
          <t>samrådsanmälan</t>
        </is>
      </c>
      <c r="C746" t="inlineStr">
        <is>
          <t>Skogsgödsling</t>
        </is>
      </c>
      <c r="D746" s="1" t="n">
        <v>44893</v>
      </c>
      <c r="E746" s="1" t="n">
        <v>46320</v>
      </c>
      <c r="F746" t="inlineStr">
        <is>
          <t>VÄRMLANDS LÄN</t>
        </is>
      </c>
      <c r="G746" t="inlineStr">
        <is>
          <t>EDA</t>
        </is>
      </c>
      <c r="H746" t="inlineStr">
        <is>
          <t>Bergvik skog väst AB</t>
        </is>
      </c>
      <c r="I746" t="n">
        <v>44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s="2" t="inlineStr"/>
    </row>
    <row r="747" ht="15" customHeight="1">
      <c r="A747" t="inlineStr">
        <is>
          <t>S 6813-2022</t>
        </is>
      </c>
      <c r="B747" t="inlineStr">
        <is>
          <t>samrådsanmälan</t>
        </is>
      </c>
      <c r="C747" t="inlineStr">
        <is>
          <t>Skogsgödsling</t>
        </is>
      </c>
      <c r="D747" s="1" t="n">
        <v>44893</v>
      </c>
      <c r="E747" s="1" t="n">
        <v>46320</v>
      </c>
      <c r="F747" t="inlineStr">
        <is>
          <t>VÄRMLANDS LÄN</t>
        </is>
      </c>
      <c r="G747" t="inlineStr">
        <is>
          <t>EDA</t>
        </is>
      </c>
      <c r="H747" t="inlineStr">
        <is>
          <t>Bergvik skog väst AB</t>
        </is>
      </c>
      <c r="I747" t="n">
        <v>37.9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s="2" t="inlineStr"/>
    </row>
    <row r="748" ht="15" customHeight="1">
      <c r="A748" t="inlineStr">
        <is>
          <t>S 820-2025</t>
        </is>
      </c>
      <c r="B748" t="inlineStr">
        <is>
          <t>samrådsanmälan</t>
        </is>
      </c>
      <c r="C748" t="inlineStr">
        <is>
          <t>Skogsgödsling</t>
        </is>
      </c>
      <c r="D748" s="1" t="n">
        <v>45731</v>
      </c>
      <c r="E748" s="1" t="n">
        <v>46320</v>
      </c>
      <c r="F748" t="inlineStr">
        <is>
          <t>VÄRMLANDS LÄN</t>
        </is>
      </c>
      <c r="G748" t="inlineStr">
        <is>
          <t>EDA</t>
        </is>
      </c>
      <c r="I748" t="n">
        <v>9.800000000000001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s="2" t="inlineStr"/>
    </row>
    <row r="749" ht="15" customHeight="1">
      <c r="A749" t="inlineStr">
        <is>
          <t>S 893-2025</t>
        </is>
      </c>
      <c r="B749" t="inlineStr">
        <is>
          <t>samrådsanmälan</t>
        </is>
      </c>
      <c r="C749" t="inlineStr">
        <is>
          <t>Skogsgödsling</t>
        </is>
      </c>
      <c r="D749" s="1" t="n">
        <v>45736</v>
      </c>
      <c r="E749" s="1" t="n">
        <v>46320</v>
      </c>
      <c r="F749" t="inlineStr">
        <is>
          <t>VÄRMLANDS LÄN</t>
        </is>
      </c>
      <c r="G749" t="inlineStr">
        <is>
          <t>EDA</t>
        </is>
      </c>
      <c r="I749" t="n">
        <v>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s="2" t="inlineStr"/>
    </row>
    <row r="750" ht="15" customHeight="1">
      <c r="A750" t="inlineStr">
        <is>
          <t>S 87-2026</t>
        </is>
      </c>
      <c r="B750" t="inlineStr">
        <is>
          <t>samrådsanmälan</t>
        </is>
      </c>
      <c r="C750" t="inlineStr">
        <is>
          <t>Skogsgödsling</t>
        </is>
      </c>
      <c r="D750" s="1" t="n">
        <v>46035</v>
      </c>
      <c r="E750" s="1" t="n">
        <v>46320</v>
      </c>
      <c r="F750" t="inlineStr">
        <is>
          <t>VÄRMLANDS LÄN</t>
        </is>
      </c>
      <c r="G750" t="inlineStr">
        <is>
          <t>EDA</t>
        </is>
      </c>
      <c r="H750" t="inlineStr">
        <is>
          <t>Bergvik skog väst AB</t>
        </is>
      </c>
      <c r="I750" t="n">
        <v>32.7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s="2" t="inlineStr"/>
    </row>
    <row r="751">
      <c r="A751" t="inlineStr">
        <is>
          <t>S 1499-2026</t>
        </is>
      </c>
      <c r="B751" t="inlineStr">
        <is>
          <t>samrådsanmälan</t>
        </is>
      </c>
      <c r="C751" t="inlineStr">
        <is>
          <t>Skogsbilväg</t>
        </is>
      </c>
      <c r="D751" s="1" t="n">
        <v>46163</v>
      </c>
      <c r="E751" s="1" t="n">
        <v>46320</v>
      </c>
      <c r="F751" t="inlineStr">
        <is>
          <t>VÄRMLANDS LÄN</t>
        </is>
      </c>
      <c r="G751" t="inlineStr">
        <is>
          <t>EDA</t>
        </is>
      </c>
      <c r="I751" t="n">
        <v>3.5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2026-10-25T02:01:06Z</dcterms:created>
  <dcterms:modified xmlns:dcterms="http://purl.org/dc/terms/" xmlns:xsi="http://www.w3.org/2001/XMLSchema-instance" xsi:type="dcterms:W3CDTF">2026-10-25T02:01:07Z</dcterms:modified>
</cp:coreProperties>
</file>