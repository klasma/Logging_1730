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46251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46251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46251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46251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46251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45293</v>
      </c>
      <c r="E10" s="1" t="n">
        <v>46251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Spillkråka
Revlummer</t>
        </is>
      </c>
      <c r="W10">
        <f>HYPERLINK("https://klasma.github.io/Logging_1730/artfynd/A 14-2024 artfynd.xlsx", "A 14-2024")</f>
        <v/>
      </c>
      <c r="X10">
        <f>HYPERLINK("https://klasma.github.io/Logging_1730/kartor/A 14-2024 karta.png", "A 14-2024")</f>
        <v/>
      </c>
      <c r="Y10">
        <f>HYPERLINK("https://klasma.github.io/Logging_1730/kartor_geotiff/A 14-2024 georefererad karta.tif", "A 14-2024")</f>
        <v/>
      </c>
      <c r="Z10">
        <f>HYPERLINK("https://klasma.github.io/Logging_1730/knärot/A 14-2024 karta knärot.png", "A 14-2024")</f>
        <v/>
      </c>
      <c r="AA10">
        <f>HYPERLINK("https://klasma.github.io/Logging_1730/klagomål/A 14-2024 FSC-klagomål.docx", "A 14-2024")</f>
        <v/>
      </c>
      <c r="AB10">
        <f>HYPERLINK("https://klasma.github.io/Logging_1730/klagomålsmail/A 14-2024 FSC-klagomål mail.docx", "A 14-2024")</f>
        <v/>
      </c>
      <c r="AC10">
        <f>HYPERLINK("https://klasma.github.io/Logging_1730/tillsyn/A 14-2024 tillsynsbegäran.docx", "A 14-2024")</f>
        <v/>
      </c>
      <c r="AD10">
        <f>HYPERLINK("https://klasma.github.io/Logging_1730/tillsynsmail/A 14-2024 tillsynsbegäran mail.docx", "A 14-2024")</f>
        <v/>
      </c>
      <c r="AE10">
        <f>HYPERLINK("https://klasma.github.io/Logging_1730/fåglar/A 14-2024 prioriterade fågelarter.docx", "A 14-2024")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46251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46251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46251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56492-2023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46251</v>
      </c>
      <c r="F17" t="inlineStr">
        <is>
          <t>VÄRMLANDS LÄN</t>
        </is>
      </c>
      <c r="G17" t="inlineStr">
        <is>
          <t>EDA</t>
        </is>
      </c>
      <c r="I17" t="n">
        <v>3.5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Ullticka
Vedtrappmossa</t>
        </is>
      </c>
      <c r="W17">
        <f>HYPERLINK("https://klasma.github.io/Logging_1730/artfynd/A 56492-2023 artfynd.xlsx", "A 56492-2023")</f>
        <v/>
      </c>
      <c r="X17">
        <f>HYPERLINK("https://klasma.github.io/Logging_1730/kartor/A 56492-2023 karta.png", "A 56492-2023")</f>
        <v/>
      </c>
      <c r="Y17">
        <f>HYPERLINK("https://klasma.github.io/Logging_1730/kartor_geotiff/A 56492-2023 georefererad karta.tif", "A 56492-2023")</f>
        <v/>
      </c>
      <c r="AA17">
        <f>HYPERLINK("https://klasma.github.io/Logging_1730/klagomål/A 56492-2023 FSC-klagomål.docx", "A 56492-2023")</f>
        <v/>
      </c>
      <c r="AB17">
        <f>HYPERLINK("https://klasma.github.io/Logging_1730/klagomålsmail/A 56492-2023 FSC-klagomål mail.docx", "A 56492-2023")</f>
        <v/>
      </c>
      <c r="AC17">
        <f>HYPERLINK("https://klasma.github.io/Logging_1730/tillsyn/A 56492-2023 tillsynsbegäran.docx", "A 56492-2023")</f>
        <v/>
      </c>
      <c r="AD17">
        <f>HYPERLINK("https://klasma.github.io/Logging_1730/tillsynsmail/A 56492-2023 tillsynsbegäran mail.docx", "A 56492-2023")</f>
        <v/>
      </c>
    </row>
    <row r="18" ht="15" customHeight="1">
      <c r="A18" t="inlineStr">
        <is>
          <t>A 55797-2022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46251</v>
      </c>
      <c r="F18" t="inlineStr">
        <is>
          <t>VÄRMLANDS LÄN</t>
        </is>
      </c>
      <c r="G18" t="inlineStr">
        <is>
          <t>EDA</t>
        </is>
      </c>
      <c r="I18" t="n">
        <v>3.4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Skogsödla</t>
        </is>
      </c>
      <c r="W18">
        <f>HYPERLINK("https://klasma.github.io/Logging_1730/artfynd/A 55797-2022 artfynd.xlsx", "A 55797-2022")</f>
        <v/>
      </c>
      <c r="X18">
        <f>HYPERLINK("https://klasma.github.io/Logging_1730/kartor/A 55797-2022 karta.png", "A 55797-2022")</f>
        <v/>
      </c>
      <c r="Y18">
        <f>HYPERLINK("https://klasma.github.io/Logging_1730/kartor_geotiff/A 55797-2022 georefererad karta.tif", "A 55797-2022")</f>
        <v/>
      </c>
      <c r="AA18">
        <f>HYPERLINK("https://klasma.github.io/Logging_1730/klagomål/A 55797-2022 FSC-klagomål.docx", "A 55797-2022")</f>
        <v/>
      </c>
      <c r="AB18">
        <f>HYPERLINK("https://klasma.github.io/Logging_1730/klagomålsmail/A 55797-2022 FSC-klagomål mail.docx", "A 55797-2022")</f>
        <v/>
      </c>
      <c r="AC18">
        <f>HYPERLINK("https://klasma.github.io/Logging_1730/tillsyn/A 55797-2022 tillsynsbegäran.docx", "A 55797-2022")</f>
        <v/>
      </c>
      <c r="AD18">
        <f>HYPERLINK("https://klasma.github.io/Logging_1730/tillsynsmail/A 55797-2022 tillsynsbegäran mail.docx", "A 55797-2022")</f>
        <v/>
      </c>
      <c r="AE18">
        <f>HYPERLINK("https://klasma.github.io/Logging_1730/fåglar/A 55797-2022 prioriterade fågelarter.docx", "A 55797-2022")</f>
        <v/>
      </c>
    </row>
    <row r="19" ht="15" customHeight="1">
      <c r="A19" t="inlineStr">
        <is>
          <t>A 2841-2024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45315</v>
      </c>
      <c r="E19" s="1" t="n">
        <v>46251</v>
      </c>
      <c r="F19" t="inlineStr">
        <is>
          <t>VÄRMLANDS LÄN</t>
        </is>
      </c>
      <c r="G19" t="inlineStr">
        <is>
          <t>EDA</t>
        </is>
      </c>
      <c r="I19" t="n">
        <v>2.1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Ullticka</t>
        </is>
      </c>
      <c r="W19">
        <f>HYPERLINK("https://klasma.github.io/Logging_1730/artfynd/A 2841-2024 artfynd.xlsx", "A 2841-2024")</f>
        <v/>
      </c>
      <c r="X19">
        <f>HYPERLINK("https://klasma.github.io/Logging_1730/kartor/A 2841-2024 karta.png", "A 2841-2024")</f>
        <v/>
      </c>
      <c r="Y19">
        <f>HYPERLINK("https://klasma.github.io/Logging_1730/kartor_geotiff/A 2841-2024 georefererad karta.tif", "A 2841-2024")</f>
        <v/>
      </c>
      <c r="AA19">
        <f>HYPERLINK("https://klasma.github.io/Logging_1730/klagomål/A 2841-2024 FSC-klagomål.docx", "A 2841-2024")</f>
        <v/>
      </c>
      <c r="AB19">
        <f>HYPERLINK("https://klasma.github.io/Logging_1730/klagomålsmail/A 2841-2024 FSC-klagomål mail.docx", "A 2841-2024")</f>
        <v/>
      </c>
      <c r="AC19">
        <f>HYPERLINK("https://klasma.github.io/Logging_1730/tillsyn/A 2841-2024 tillsynsbegäran.docx", "A 2841-2024")</f>
        <v/>
      </c>
      <c r="AD19">
        <f>HYPERLINK("https://klasma.github.io/Logging_1730/tillsynsmail/A 2841-2024 tillsynsbegäran mail.docx", "A 2841-2024")</f>
        <v/>
      </c>
      <c r="AE19">
        <f>HYPERLINK("https://klasma.github.io/Logging_1730/fåglar/A 2841-2024 prioriterade fågelarter.docx", "A 2841-2024")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46251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46251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46251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46251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46251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46251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46251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46251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46251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46251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46251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20898-2025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46251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HYPERLINK("https://klasma.github.io/Logging_1730/artfynd/A 20898-2025 artfynd.xlsx", "A 20898-2025")</f>
        <v/>
      </c>
      <c r="X34">
        <f>HYPERLINK("https://klasma.github.io/Logging_1730/kartor/A 20898-2025 karta.png", "A 20898-2025")</f>
        <v/>
      </c>
      <c r="Y34">
        <f>HYPERLINK("https://klasma.github.io/Logging_1730/kartor_geotiff/A 20898-2025 georefererad karta.tif", "A 20898-2025")</f>
        <v/>
      </c>
      <c r="AA34">
        <f>HYPERLINK("https://klasma.github.io/Logging_1730/klagomål/A 20898-2025 FSC-klagomål.docx", "A 20898-2025")</f>
        <v/>
      </c>
      <c r="AB34">
        <f>HYPERLINK("https://klasma.github.io/Logging_1730/klagomålsmail/A 20898-2025 FSC-klagomål mail.docx", "A 20898-2025")</f>
        <v/>
      </c>
      <c r="AC34">
        <f>HYPERLINK("https://klasma.github.io/Logging_1730/tillsyn/A 20898-2025 tillsynsbegäran.docx", "A 20898-2025")</f>
        <v/>
      </c>
      <c r="AD34">
        <f>HYPERLINK("https://klasma.github.io/Logging_1730/tillsynsmail/A 20898-2025 tillsynsbegäran mail.docx", "A 20898-2025")</f>
        <v/>
      </c>
      <c r="AE34">
        <f>HYPERLINK("https://klasma.github.io/Logging_1730/fåglar/A 20898-2025 prioriterade fågelarter.docx", "A 20898-2025")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46251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46251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46251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46251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46251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46251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46251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46251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46251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46251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46251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46251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46251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46251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46251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46251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46251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46251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46251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46251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46251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46251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46251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46251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46251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46251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46251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46251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46251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46251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46251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46251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46251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46251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46251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46251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46251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46251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46251</v>
      </c>
      <c r="F75" t="inlineStr">
        <is>
          <t>VÄRMLANDS LÄN</t>
        </is>
      </c>
      <c r="G75" t="inlineStr">
        <is>
          <t>EDA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74085-2021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46251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46251</v>
      </c>
      <c r="F77" t="inlineStr">
        <is>
          <t>VÄRMLANDS LÄN</t>
        </is>
      </c>
      <c r="G77" t="inlineStr">
        <is>
          <t>EDA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46251</v>
      </c>
      <c r="F78" t="inlineStr">
        <is>
          <t>VÄRMLANDS LÄN</t>
        </is>
      </c>
      <c r="G78" t="inlineStr">
        <is>
          <t>EDA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46251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46251</v>
      </c>
      <c r="F80" t="inlineStr">
        <is>
          <t>VÄRMLANDS LÄN</t>
        </is>
      </c>
      <c r="G80" t="inlineStr">
        <is>
          <t>EDA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46251</v>
      </c>
      <c r="F81" t="inlineStr">
        <is>
          <t>VÄRMLANDS LÄN</t>
        </is>
      </c>
      <c r="G81" t="inlineStr">
        <is>
          <t>EDA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46251</v>
      </c>
      <c r="F82" t="inlineStr">
        <is>
          <t>VÄRMLANDS LÄN</t>
        </is>
      </c>
      <c r="G82" t="inlineStr">
        <is>
          <t>EDA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44883</v>
      </c>
      <c r="E83" s="1" t="n">
        <v>46251</v>
      </c>
      <c r="F83" t="inlineStr">
        <is>
          <t>VÄRMLANDS LÄN</t>
        </is>
      </c>
      <c r="G83" t="inlineStr">
        <is>
          <t>EDA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46251</v>
      </c>
      <c r="F84" t="inlineStr">
        <is>
          <t>VÄRMLANDS LÄN</t>
        </is>
      </c>
      <c r="G84" t="inlineStr">
        <is>
          <t>EDA</t>
        </is>
      </c>
      <c r="H84" t="inlineStr">
        <is>
          <t>Bergvik skog väst AB</t>
        </is>
      </c>
      <c r="I84" t="n">
        <v>11.5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46251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46251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46251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46251</v>
      </c>
      <c r="F88" t="inlineStr">
        <is>
          <t>VÄRMLANDS LÄN</t>
        </is>
      </c>
      <c r="G88" t="inlineStr">
        <is>
          <t>EDA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44581</v>
      </c>
      <c r="E89" s="1" t="n">
        <v>46251</v>
      </c>
      <c r="F89" t="inlineStr">
        <is>
          <t>VÄRMLANDS LÄN</t>
        </is>
      </c>
      <c r="G89" t="inlineStr">
        <is>
          <t>EDA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46251</v>
      </c>
      <c r="F90" t="inlineStr">
        <is>
          <t>VÄRMLANDS LÄN</t>
        </is>
      </c>
      <c r="G90" t="inlineStr">
        <is>
          <t>EDA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46251</v>
      </c>
      <c r="F91" t="inlineStr">
        <is>
          <t>VÄRMLANDS LÄN</t>
        </is>
      </c>
      <c r="G91" t="inlineStr">
        <is>
          <t>EDA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44560</v>
      </c>
      <c r="E92" s="1" t="n">
        <v>46251</v>
      </c>
      <c r="F92" t="inlineStr">
        <is>
          <t>VÄRMLANDS LÄN</t>
        </is>
      </c>
      <c r="G92" t="inlineStr">
        <is>
          <t>EDA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46251</v>
      </c>
      <c r="F93" t="inlineStr">
        <is>
          <t>VÄRMLANDS LÄN</t>
        </is>
      </c>
      <c r="G93" t="inlineStr">
        <is>
          <t>EDA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44445</v>
      </c>
      <c r="E94" s="1" t="n">
        <v>46251</v>
      </c>
      <c r="F94" t="inlineStr">
        <is>
          <t>VÄRMLANDS LÄN</t>
        </is>
      </c>
      <c r="G94" t="inlineStr">
        <is>
          <t>EDA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46251</v>
      </c>
      <c r="F95" t="inlineStr">
        <is>
          <t>VÄRMLANDS LÄN</t>
        </is>
      </c>
      <c r="G95" t="inlineStr">
        <is>
          <t>EDA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46251</v>
      </c>
      <c r="F96" t="inlineStr">
        <is>
          <t>VÄRMLANDS LÄN</t>
        </is>
      </c>
      <c r="G96" t="inlineStr">
        <is>
          <t>EDA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46251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46251</v>
      </c>
      <c r="F98" t="inlineStr">
        <is>
          <t>VÄRMLANDS LÄN</t>
        </is>
      </c>
      <c r="G98" t="inlineStr">
        <is>
          <t>EDA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55989-2021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46251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46251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46251</v>
      </c>
      <c r="F101" t="inlineStr">
        <is>
          <t>VÄRMLANDS LÄN</t>
        </is>
      </c>
      <c r="G101" t="inlineStr">
        <is>
          <t>EDA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46251</v>
      </c>
      <c r="F102" t="inlineStr">
        <is>
          <t>VÄRMLANDS LÄN</t>
        </is>
      </c>
      <c r="G102" t="inlineStr">
        <is>
          <t>EDA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46251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46251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46251</v>
      </c>
      <c r="F105" t="inlineStr">
        <is>
          <t>VÄRMLANDS LÄN</t>
        </is>
      </c>
      <c r="G105" t="inlineStr">
        <is>
          <t>EDA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45173</v>
      </c>
      <c r="E106" s="1" t="n">
        <v>46251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45173</v>
      </c>
      <c r="E107" s="1" t="n">
        <v>46251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46251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53396-2023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46251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46251</v>
      </c>
      <c r="F110" t="inlineStr">
        <is>
          <t>VÄRMLANDS LÄN</t>
        </is>
      </c>
      <c r="G110" t="inlineStr">
        <is>
          <t>EDA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44714</v>
      </c>
      <c r="E111" s="1" t="n">
        <v>46251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46251</v>
      </c>
      <c r="F112" t="inlineStr">
        <is>
          <t>VÄRMLANDS LÄN</t>
        </is>
      </c>
      <c r="G112" t="inlineStr">
        <is>
          <t>EDA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53765-2021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46251</v>
      </c>
      <c r="F113" t="inlineStr">
        <is>
          <t>VÄRMLANDS LÄN</t>
        </is>
      </c>
      <c r="G113" t="inlineStr">
        <is>
          <t>EDA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44740</v>
      </c>
      <c r="E114" s="1" t="n">
        <v>46251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46251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46251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44835-2021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46251</v>
      </c>
      <c r="F117" t="inlineStr">
        <is>
          <t>VÄRMLANDS LÄN</t>
        </is>
      </c>
      <c r="G117" t="inlineStr">
        <is>
          <t>EDA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44877</v>
      </c>
      <c r="E118" s="1" t="n">
        <v>46251</v>
      </c>
      <c r="F118" t="inlineStr">
        <is>
          <t>VÄRMLANDS LÄN</t>
        </is>
      </c>
      <c r="G118" t="inlineStr">
        <is>
          <t>EDA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46251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45549</v>
      </c>
      <c r="E120" s="1" t="n">
        <v>46251</v>
      </c>
      <c r="F120" t="inlineStr">
        <is>
          <t>VÄRMLANDS LÄN</t>
        </is>
      </c>
      <c r="G120" t="inlineStr">
        <is>
          <t>EDA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46251</v>
      </c>
      <c r="F121" t="inlineStr">
        <is>
          <t>VÄRMLANDS LÄN</t>
        </is>
      </c>
      <c r="G121" t="inlineStr">
        <is>
          <t>EDA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46251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46251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46251</v>
      </c>
      <c r="F124" t="inlineStr">
        <is>
          <t>VÄRMLANDS LÄN</t>
        </is>
      </c>
      <c r="G124" t="inlineStr">
        <is>
          <t>EDA</t>
        </is>
      </c>
      <c r="H124" t="inlineStr">
        <is>
          <t>Kyrkan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46251</v>
      </c>
      <c r="F125" t="inlineStr">
        <is>
          <t>VÄRMLANDS LÄN</t>
        </is>
      </c>
      <c r="G125" t="inlineStr">
        <is>
          <t>EDA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15497-2022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44662</v>
      </c>
      <c r="E126" s="1" t="n">
        <v>46251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56763-2022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46251</v>
      </c>
      <c r="F127" t="inlineStr">
        <is>
          <t>VÄRMLANDS LÄN</t>
        </is>
      </c>
      <c r="G127" t="inlineStr">
        <is>
          <t>EDA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46251</v>
      </c>
      <c r="F128" t="inlineStr">
        <is>
          <t>VÄRMLANDS LÄN</t>
        </is>
      </c>
      <c r="G128" t="inlineStr">
        <is>
          <t>EDA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44584</v>
      </c>
      <c r="E129" s="1" t="n">
        <v>46251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44643</v>
      </c>
      <c r="E130" s="1" t="n">
        <v>46251</v>
      </c>
      <c r="F130" t="inlineStr">
        <is>
          <t>VÄRMLANDS LÄN</t>
        </is>
      </c>
      <c r="G130" t="inlineStr">
        <is>
          <t>EDA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45300</v>
      </c>
      <c r="E131" s="1" t="n">
        <v>46251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46251</v>
      </c>
      <c r="F132" t="inlineStr">
        <is>
          <t>VÄRMLANDS LÄN</t>
        </is>
      </c>
      <c r="G132" t="inlineStr">
        <is>
          <t>EDA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46251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46251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46251</v>
      </c>
      <c r="F135" t="inlineStr">
        <is>
          <t>VÄRMLANDS LÄN</t>
        </is>
      </c>
      <c r="G135" t="inlineStr">
        <is>
          <t>EDA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46251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44726</v>
      </c>
      <c r="E137" s="1" t="n">
        <v>46251</v>
      </c>
      <c r="F137" t="inlineStr">
        <is>
          <t>VÄRMLANDS LÄN</t>
        </is>
      </c>
      <c r="G137" t="inlineStr">
        <is>
          <t>EDA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28197-2024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46251</v>
      </c>
      <c r="F138" t="inlineStr">
        <is>
          <t>VÄRMLANDS LÄN</t>
        </is>
      </c>
      <c r="G138" t="inlineStr">
        <is>
          <t>EDA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46251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46251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46251</v>
      </c>
      <c r="F141" t="inlineStr">
        <is>
          <t>VÄRMLANDS LÄN</t>
        </is>
      </c>
      <c r="G141" t="inlineStr">
        <is>
          <t>EDA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46251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46251</v>
      </c>
      <c r="F143" t="inlineStr">
        <is>
          <t>VÄRMLANDS LÄN</t>
        </is>
      </c>
      <c r="G143" t="inlineStr">
        <is>
          <t>EDA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46251</v>
      </c>
      <c r="F144" t="inlineStr">
        <is>
          <t>VÄRMLANDS LÄN</t>
        </is>
      </c>
      <c r="G144" t="inlineStr">
        <is>
          <t>EDA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46251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44432</v>
      </c>
      <c r="E146" s="1" t="n">
        <v>46251</v>
      </c>
      <c r="F146" t="inlineStr">
        <is>
          <t>VÄRMLANDS LÄN</t>
        </is>
      </c>
      <c r="G146" t="inlineStr">
        <is>
          <t>EDA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46251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46251</v>
      </c>
      <c r="F148" t="inlineStr">
        <is>
          <t>VÄRMLANDS LÄN</t>
        </is>
      </c>
      <c r="G148" t="inlineStr">
        <is>
          <t>EDA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46251</v>
      </c>
      <c r="F149" t="inlineStr">
        <is>
          <t>VÄRMLANDS LÄN</t>
        </is>
      </c>
      <c r="G149" t="inlineStr">
        <is>
          <t>EDA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46251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46251</v>
      </c>
      <c r="F151" t="inlineStr">
        <is>
          <t>VÄRMLANDS LÄN</t>
        </is>
      </c>
      <c r="G151" t="inlineStr">
        <is>
          <t>EDA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46251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46251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46251</v>
      </c>
      <c r="F154" t="inlineStr">
        <is>
          <t>VÄRMLANDS LÄN</t>
        </is>
      </c>
      <c r="G154" t="inlineStr">
        <is>
          <t>EDA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46251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45491</v>
      </c>
      <c r="E156" s="1" t="n">
        <v>46251</v>
      </c>
      <c r="F156" t="inlineStr">
        <is>
          <t>VÄRMLANDS LÄN</t>
        </is>
      </c>
      <c r="G156" t="inlineStr">
        <is>
          <t>EDA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35722-2024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45532</v>
      </c>
      <c r="E157" s="1" t="n">
        <v>46251</v>
      </c>
      <c r="F157" t="inlineStr">
        <is>
          <t>VÄRMLANDS LÄN</t>
        </is>
      </c>
      <c r="G157" t="inlineStr">
        <is>
          <t>EDA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46251</v>
      </c>
      <c r="F158" t="inlineStr">
        <is>
          <t>VÄRMLANDS LÄN</t>
        </is>
      </c>
      <c r="G158" t="inlineStr">
        <is>
          <t>EDA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46251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37822-2024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46251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46251</v>
      </c>
      <c r="F161" t="inlineStr">
        <is>
          <t>VÄRMLANDS LÄN</t>
        </is>
      </c>
      <c r="G161" t="inlineStr">
        <is>
          <t>EDA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46251</v>
      </c>
      <c r="F162" t="inlineStr">
        <is>
          <t>VÄRMLANDS LÄN</t>
        </is>
      </c>
      <c r="G162" t="inlineStr">
        <is>
          <t>EDA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46251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46251</v>
      </c>
      <c r="F164" t="inlineStr">
        <is>
          <t>VÄRMLANDS LÄN</t>
        </is>
      </c>
      <c r="G164" t="inlineStr">
        <is>
          <t>EDA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46251</v>
      </c>
      <c r="F165" t="inlineStr">
        <is>
          <t>VÄRMLANDS LÄN</t>
        </is>
      </c>
      <c r="G165" t="inlineStr">
        <is>
          <t>EDA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46251</v>
      </c>
      <c r="F166" t="inlineStr">
        <is>
          <t>VÄRMLANDS LÄN</t>
        </is>
      </c>
      <c r="G166" t="inlineStr">
        <is>
          <t>EDA</t>
        </is>
      </c>
      <c r="H166" t="inlineStr">
        <is>
          <t>Kommuner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46251</v>
      </c>
      <c r="F167" t="inlineStr">
        <is>
          <t>VÄRMLANDS LÄN</t>
        </is>
      </c>
      <c r="G167" t="inlineStr">
        <is>
          <t>EDA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46251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46251</v>
      </c>
      <c r="F169" t="inlineStr">
        <is>
          <t>VÄRMLANDS LÄN</t>
        </is>
      </c>
      <c r="G169" t="inlineStr">
        <is>
          <t>EDA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46251</v>
      </c>
      <c r="F170" t="inlineStr">
        <is>
          <t>VÄRMLANDS LÄN</t>
        </is>
      </c>
      <c r="G170" t="inlineStr">
        <is>
          <t>EDA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46251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46251</v>
      </c>
      <c r="F172" t="inlineStr">
        <is>
          <t>VÄRMLANDS LÄN</t>
        </is>
      </c>
      <c r="G172" t="inlineStr">
        <is>
          <t>EDA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44625</v>
      </c>
      <c r="E173" s="1" t="n">
        <v>46251</v>
      </c>
      <c r="F173" t="inlineStr">
        <is>
          <t>VÄRMLANDS LÄN</t>
        </is>
      </c>
      <c r="G173" t="inlineStr">
        <is>
          <t>EDA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46251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46251</v>
      </c>
      <c r="F175" t="inlineStr">
        <is>
          <t>VÄRMLANDS LÄN</t>
        </is>
      </c>
      <c r="G175" t="inlineStr">
        <is>
          <t>EDA</t>
        </is>
      </c>
      <c r="I175" t="n">
        <v>9.9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46251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45195</v>
      </c>
      <c r="E177" s="1" t="n">
        <v>46251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46251</v>
      </c>
      <c r="F178" t="inlineStr">
        <is>
          <t>VÄRMLANDS LÄN</t>
        </is>
      </c>
      <c r="G178" t="inlineStr">
        <is>
          <t>EDA</t>
        </is>
      </c>
      <c r="H178" t="inlineStr">
        <is>
          <t>Bergvik skog väst AB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46251</v>
      </c>
      <c r="F179" t="inlineStr">
        <is>
          <t>VÄRMLANDS LÄN</t>
        </is>
      </c>
      <c r="G179" t="inlineStr">
        <is>
          <t>EDA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46251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45920</v>
      </c>
      <c r="E181" s="1" t="n">
        <v>46251</v>
      </c>
      <c r="F181" t="inlineStr">
        <is>
          <t>VÄRMLANDS LÄN</t>
        </is>
      </c>
      <c r="G181" t="inlineStr">
        <is>
          <t>EDA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46251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46251</v>
      </c>
      <c r="F183" t="inlineStr">
        <is>
          <t>VÄRMLANDS LÄN</t>
        </is>
      </c>
      <c r="G183" t="inlineStr">
        <is>
          <t>EDA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46251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46251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46251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46251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46251</v>
      </c>
      <c r="F188" t="inlineStr">
        <is>
          <t>VÄRMLANDS LÄN</t>
        </is>
      </c>
      <c r="G188" t="inlineStr">
        <is>
          <t>EDA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46251</v>
      </c>
      <c r="F189" t="inlineStr">
        <is>
          <t>VÄRMLANDS LÄN</t>
        </is>
      </c>
      <c r="G189" t="inlineStr">
        <is>
          <t>EDA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46251</v>
      </c>
      <c r="F190" t="inlineStr">
        <is>
          <t>VÄRMLANDS LÄN</t>
        </is>
      </c>
      <c r="G190" t="inlineStr">
        <is>
          <t>EDA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46251</v>
      </c>
      <c r="F191" t="inlineStr">
        <is>
          <t>VÄRMLANDS LÄN</t>
        </is>
      </c>
      <c r="G191" t="inlineStr">
        <is>
          <t>EDA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46251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46251</v>
      </c>
      <c r="F193" t="inlineStr">
        <is>
          <t>VÄRMLANDS LÄN</t>
        </is>
      </c>
      <c r="G193" t="inlineStr">
        <is>
          <t>EDA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46251</v>
      </c>
      <c r="F194" t="inlineStr">
        <is>
          <t>VÄRMLANDS LÄN</t>
        </is>
      </c>
      <c r="G194" t="inlineStr">
        <is>
          <t>EDA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46251</v>
      </c>
      <c r="F195" t="inlineStr">
        <is>
          <t>VÄRMLANDS LÄN</t>
        </is>
      </c>
      <c r="G195" t="inlineStr">
        <is>
          <t>EDA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46251</v>
      </c>
      <c r="F196" t="inlineStr">
        <is>
          <t>VÄRMLANDS LÄN</t>
        </is>
      </c>
      <c r="G196" t="inlineStr">
        <is>
          <t>EDA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46251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46251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46251</v>
      </c>
      <c r="F199" t="inlineStr">
        <is>
          <t>VÄRMLANDS LÄN</t>
        </is>
      </c>
      <c r="G199" t="inlineStr">
        <is>
          <t>EDA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46251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46251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46251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46251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46251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46251</v>
      </c>
      <c r="F205" t="inlineStr">
        <is>
          <t>VÄRMLANDS LÄN</t>
        </is>
      </c>
      <c r="G205" t="inlineStr">
        <is>
          <t>EDA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46251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46251</v>
      </c>
      <c r="F207" t="inlineStr">
        <is>
          <t>VÄRMLANDS LÄN</t>
        </is>
      </c>
      <c r="G207" t="inlineStr">
        <is>
          <t>EDA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46251</v>
      </c>
      <c r="F208" t="inlineStr">
        <is>
          <t>VÄRMLANDS LÄN</t>
        </is>
      </c>
      <c r="G208" t="inlineStr">
        <is>
          <t>EDA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46251</v>
      </c>
      <c r="F209" t="inlineStr">
        <is>
          <t>VÄRMLANDS LÄN</t>
        </is>
      </c>
      <c r="G209" t="inlineStr">
        <is>
          <t>EDA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46251</v>
      </c>
      <c r="F210" t="inlineStr">
        <is>
          <t>VÄRMLANDS LÄN</t>
        </is>
      </c>
      <c r="G210" t="inlineStr">
        <is>
          <t>EDA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46251</v>
      </c>
      <c r="F211" t="inlineStr">
        <is>
          <t>VÄRMLANDS LÄN</t>
        </is>
      </c>
      <c r="G211" t="inlineStr">
        <is>
          <t>EDA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46251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46251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46251</v>
      </c>
      <c r="F214" t="inlineStr">
        <is>
          <t>VÄRMLANDS LÄN</t>
        </is>
      </c>
      <c r="G214" t="inlineStr">
        <is>
          <t>EDA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46251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46251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46251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46251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46251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46251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10.5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46251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46251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46251</v>
      </c>
      <c r="F223" t="inlineStr">
        <is>
          <t>VÄRMLANDS LÄN</t>
        </is>
      </c>
      <c r="G223" t="inlineStr">
        <is>
          <t>EDA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46251</v>
      </c>
      <c r="F224" t="inlineStr">
        <is>
          <t>VÄRMLANDS LÄN</t>
        </is>
      </c>
      <c r="G224" t="inlineStr">
        <is>
          <t>EDA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46251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46251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46251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46251</v>
      </c>
      <c r="F228" t="inlineStr">
        <is>
          <t>VÄRMLANDS LÄN</t>
        </is>
      </c>
      <c r="G228" t="inlineStr">
        <is>
          <t>EDA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46251</v>
      </c>
      <c r="F229" t="inlineStr">
        <is>
          <t>VÄRMLANDS LÄN</t>
        </is>
      </c>
      <c r="G229" t="inlineStr">
        <is>
          <t>EDA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46251</v>
      </c>
      <c r="F230" t="inlineStr">
        <is>
          <t>VÄRMLANDS LÄN</t>
        </is>
      </c>
      <c r="G230" t="inlineStr">
        <is>
          <t>EDA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46251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46251</v>
      </c>
      <c r="F232" t="inlineStr">
        <is>
          <t>VÄRMLANDS LÄN</t>
        </is>
      </c>
      <c r="G232" t="inlineStr">
        <is>
          <t>EDA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46251</v>
      </c>
      <c r="F233" t="inlineStr">
        <is>
          <t>VÄRMLANDS LÄN</t>
        </is>
      </c>
      <c r="G233" t="inlineStr">
        <is>
          <t>EDA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45460</v>
      </c>
      <c r="E234" s="1" t="n">
        <v>46251</v>
      </c>
      <c r="F234" t="inlineStr">
        <is>
          <t>VÄRMLANDS LÄN</t>
        </is>
      </c>
      <c r="G234" t="inlineStr">
        <is>
          <t>EDA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14206-2026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46251</v>
      </c>
      <c r="F235" t="inlineStr">
        <is>
          <t>VÄRMLANDS LÄN</t>
        </is>
      </c>
      <c r="G235" t="inlineStr">
        <is>
          <t>EDA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44798</v>
      </c>
      <c r="E236" s="1" t="n">
        <v>46251</v>
      </c>
      <c r="F236" t="inlineStr">
        <is>
          <t>VÄRMLANDS LÄN</t>
        </is>
      </c>
      <c r="G236" t="inlineStr">
        <is>
          <t>EDA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46251</v>
      </c>
      <c r="F237" t="inlineStr">
        <is>
          <t>VÄRMLANDS LÄN</t>
        </is>
      </c>
      <c r="G237" t="inlineStr">
        <is>
          <t>EDA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46251</v>
      </c>
      <c r="F238" t="inlineStr">
        <is>
          <t>VÄRMLANDS LÄN</t>
        </is>
      </c>
      <c r="G238" t="inlineStr">
        <is>
          <t>EDA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44693</v>
      </c>
      <c r="E239" s="1" t="n">
        <v>46251</v>
      </c>
      <c r="F239" t="inlineStr">
        <is>
          <t>VÄRMLANDS LÄN</t>
        </is>
      </c>
      <c r="G239" t="inlineStr">
        <is>
          <t>EDA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46251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46251</v>
      </c>
      <c r="F241" t="inlineStr">
        <is>
          <t>VÄRMLANDS LÄN</t>
        </is>
      </c>
      <c r="G241" t="inlineStr">
        <is>
          <t>EDA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46251</v>
      </c>
      <c r="F242" t="inlineStr">
        <is>
          <t>VÄRMLANDS LÄN</t>
        </is>
      </c>
      <c r="G242" t="inlineStr">
        <is>
          <t>EDA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46251</v>
      </c>
      <c r="F243" t="inlineStr">
        <is>
          <t>VÄRMLANDS LÄN</t>
        </is>
      </c>
      <c r="G243" t="inlineStr">
        <is>
          <t>EDA</t>
        </is>
      </c>
      <c r="H243" t="inlineStr">
        <is>
          <t>Övriga Aktiebolag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45290</v>
      </c>
      <c r="E244" s="1" t="n">
        <v>46251</v>
      </c>
      <c r="F244" t="inlineStr">
        <is>
          <t>VÄRMLANDS LÄN</t>
        </is>
      </c>
      <c r="G244" t="inlineStr">
        <is>
          <t>EDA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45290</v>
      </c>
      <c r="E245" s="1" t="n">
        <v>46251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45733</v>
      </c>
      <c r="E246" s="1" t="n">
        <v>46251</v>
      </c>
      <c r="F246" t="inlineStr">
        <is>
          <t>VÄRMLANDS LÄN</t>
        </is>
      </c>
      <c r="G246" t="inlineStr">
        <is>
          <t>EDA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46251</v>
      </c>
      <c r="F247" t="inlineStr">
        <is>
          <t>VÄRMLANDS LÄN</t>
        </is>
      </c>
      <c r="G247" t="inlineStr">
        <is>
          <t>EDA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45140</v>
      </c>
      <c r="E248" s="1" t="n">
        <v>46251</v>
      </c>
      <c r="F248" t="inlineStr">
        <is>
          <t>VÄRMLANDS LÄN</t>
        </is>
      </c>
      <c r="G248" t="inlineStr">
        <is>
          <t>EDA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46251</v>
      </c>
      <c r="F249" t="inlineStr">
        <is>
          <t>VÄRMLANDS LÄN</t>
        </is>
      </c>
      <c r="G249" t="inlineStr">
        <is>
          <t>EDA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46251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46251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46251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46251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46251</v>
      </c>
      <c r="F254" t="inlineStr">
        <is>
          <t>VÄRMLANDS LÄN</t>
        </is>
      </c>
      <c r="G254" t="inlineStr">
        <is>
          <t>EDA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46251</v>
      </c>
      <c r="F255" t="inlineStr">
        <is>
          <t>VÄRMLANDS LÄN</t>
        </is>
      </c>
      <c r="G255" t="inlineStr">
        <is>
          <t>EDA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45152</v>
      </c>
      <c r="E256" s="1" t="n">
        <v>46251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46251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46251</v>
      </c>
      <c r="F258" t="inlineStr">
        <is>
          <t>VÄRMLANDS LÄN</t>
        </is>
      </c>
      <c r="G258" t="inlineStr">
        <is>
          <t>EDA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44915</v>
      </c>
      <c r="E259" s="1" t="n">
        <v>46251</v>
      </c>
      <c r="F259" t="inlineStr">
        <is>
          <t>VÄRMLANDS LÄN</t>
        </is>
      </c>
      <c r="G259" t="inlineStr">
        <is>
          <t>EDA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46251</v>
      </c>
      <c r="F260" t="inlineStr">
        <is>
          <t>VÄRMLANDS LÄN</t>
        </is>
      </c>
      <c r="G260" t="inlineStr">
        <is>
          <t>EDA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46251</v>
      </c>
      <c r="F261" t="inlineStr">
        <is>
          <t>VÄRMLANDS LÄN</t>
        </is>
      </c>
      <c r="G261" t="inlineStr">
        <is>
          <t>EDA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46251</v>
      </c>
      <c r="F262" t="inlineStr">
        <is>
          <t>VÄRMLANDS LÄN</t>
        </is>
      </c>
      <c r="G262" t="inlineStr">
        <is>
          <t>EDA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45546</v>
      </c>
      <c r="E263" s="1" t="n">
        <v>46251</v>
      </c>
      <c r="F263" t="inlineStr">
        <is>
          <t>VÄRMLANDS LÄN</t>
        </is>
      </c>
      <c r="G263" t="inlineStr">
        <is>
          <t>EDA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46251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44659</v>
      </c>
      <c r="E265" s="1" t="n">
        <v>46251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46251</v>
      </c>
      <c r="F266" t="inlineStr">
        <is>
          <t>VÄRMLANDS LÄN</t>
        </is>
      </c>
      <c r="G266" t="inlineStr">
        <is>
          <t>EDA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46108</v>
      </c>
      <c r="E267" s="1" t="n">
        <v>46251</v>
      </c>
      <c r="F267" t="inlineStr">
        <is>
          <t>VÄRMLANDS LÄN</t>
        </is>
      </c>
      <c r="G267" t="inlineStr">
        <is>
          <t>EDA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46251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44986</v>
      </c>
      <c r="E269" s="1" t="n">
        <v>46251</v>
      </c>
      <c r="F269" t="inlineStr">
        <is>
          <t>VÄRMLANDS LÄN</t>
        </is>
      </c>
      <c r="G269" t="inlineStr">
        <is>
          <t>EDA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46251</v>
      </c>
      <c r="F270" t="inlineStr">
        <is>
          <t>VÄRMLANDS LÄN</t>
        </is>
      </c>
      <c r="G270" t="inlineStr">
        <is>
          <t>EDA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46251</v>
      </c>
      <c r="F271" t="inlineStr">
        <is>
          <t>VÄRMLANDS LÄN</t>
        </is>
      </c>
      <c r="G271" t="inlineStr">
        <is>
          <t>EDA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44575</v>
      </c>
      <c r="E272" s="1" t="n">
        <v>46251</v>
      </c>
      <c r="F272" t="inlineStr">
        <is>
          <t>VÄRMLANDS LÄN</t>
        </is>
      </c>
      <c r="G272" t="inlineStr">
        <is>
          <t>EDA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44899</v>
      </c>
      <c r="E273" s="1" t="n">
        <v>46251</v>
      </c>
      <c r="F273" t="inlineStr">
        <is>
          <t>VÄRMLANDS LÄN</t>
        </is>
      </c>
      <c r="G273" t="inlineStr">
        <is>
          <t>EDA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45680</v>
      </c>
      <c r="E274" s="1" t="n">
        <v>46251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46251</v>
      </c>
      <c r="F275" t="inlineStr">
        <is>
          <t>VÄRMLANDS LÄN</t>
        </is>
      </c>
      <c r="G275" t="inlineStr">
        <is>
          <t>EDA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46251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46251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46251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44470</v>
      </c>
      <c r="E279" s="1" t="n">
        <v>46251</v>
      </c>
      <c r="F279" t="inlineStr">
        <is>
          <t>VÄRMLANDS LÄN</t>
        </is>
      </c>
      <c r="G279" t="inlineStr">
        <is>
          <t>EDA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46251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46251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46251</v>
      </c>
      <c r="F282" t="inlineStr">
        <is>
          <t>VÄRMLANDS LÄN</t>
        </is>
      </c>
      <c r="G282" t="inlineStr">
        <is>
          <t>EDA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44573</v>
      </c>
      <c r="E283" s="1" t="n">
        <v>46251</v>
      </c>
      <c r="F283" t="inlineStr">
        <is>
          <t>VÄRMLANDS LÄN</t>
        </is>
      </c>
      <c r="G283" t="inlineStr">
        <is>
          <t>EDA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46251</v>
      </c>
      <c r="F284" t="inlineStr">
        <is>
          <t>VÄRMLANDS LÄN</t>
        </is>
      </c>
      <c r="G284" t="inlineStr">
        <is>
          <t>EDA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49609-2021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46251</v>
      </c>
      <c r="F285" t="inlineStr">
        <is>
          <t>VÄRMLANDS LÄN</t>
        </is>
      </c>
      <c r="G285" t="inlineStr">
        <is>
          <t>EDA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6321-2024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45338</v>
      </c>
      <c r="E286" s="1" t="n">
        <v>46251</v>
      </c>
      <c r="F286" t="inlineStr">
        <is>
          <t>VÄRMLANDS LÄN</t>
        </is>
      </c>
      <c r="G286" t="inlineStr">
        <is>
          <t>EDA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46251</v>
      </c>
      <c r="F287" t="inlineStr">
        <is>
          <t>VÄRMLANDS LÄN</t>
        </is>
      </c>
      <c r="G287" t="inlineStr">
        <is>
          <t>EDA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45975</v>
      </c>
      <c r="E288" s="1" t="n">
        <v>46251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46251</v>
      </c>
      <c r="F289" t="inlineStr">
        <is>
          <t>VÄRMLANDS LÄN</t>
        </is>
      </c>
      <c r="G289" t="inlineStr">
        <is>
          <t>EDA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46251</v>
      </c>
      <c r="F290" t="inlineStr">
        <is>
          <t>VÄRMLANDS LÄN</t>
        </is>
      </c>
      <c r="G290" t="inlineStr">
        <is>
          <t>EDA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46251</v>
      </c>
      <c r="F291" t="inlineStr">
        <is>
          <t>VÄRMLANDS LÄN</t>
        </is>
      </c>
      <c r="G291" t="inlineStr">
        <is>
          <t>EDA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55668-2021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44476</v>
      </c>
      <c r="E292" s="1" t="n">
        <v>46251</v>
      </c>
      <c r="F292" t="inlineStr">
        <is>
          <t>VÄRMLANDS LÄN</t>
        </is>
      </c>
      <c r="G292" t="inlineStr">
        <is>
          <t>EDA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46251</v>
      </c>
      <c r="F293" t="inlineStr">
        <is>
          <t>VÄRMLANDS LÄN</t>
        </is>
      </c>
      <c r="G293" t="inlineStr">
        <is>
          <t>EDA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46251</v>
      </c>
      <c r="F294" t="inlineStr">
        <is>
          <t>VÄRMLANDS LÄN</t>
        </is>
      </c>
      <c r="G294" t="inlineStr">
        <is>
          <t>EDA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46251</v>
      </c>
      <c r="F295" t="inlineStr">
        <is>
          <t>VÄRMLANDS LÄN</t>
        </is>
      </c>
      <c r="G295" t="inlineStr">
        <is>
          <t>EDA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46251</v>
      </c>
      <c r="F296" t="inlineStr">
        <is>
          <t>VÄRMLANDS LÄN</t>
        </is>
      </c>
      <c r="G296" t="inlineStr">
        <is>
          <t>EDA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46251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46251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46251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46251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46251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46251</v>
      </c>
      <c r="F302" t="inlineStr">
        <is>
          <t>VÄRMLANDS LÄN</t>
        </is>
      </c>
      <c r="G302" t="inlineStr">
        <is>
          <t>EDA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46251</v>
      </c>
      <c r="F303" t="inlineStr">
        <is>
          <t>VÄRMLANDS LÄN</t>
        </is>
      </c>
      <c r="G303" t="inlineStr">
        <is>
          <t>EDA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46251</v>
      </c>
      <c r="F304" t="inlineStr">
        <is>
          <t>VÄRMLANDS LÄN</t>
        </is>
      </c>
      <c r="G304" t="inlineStr">
        <is>
          <t>EDA</t>
        </is>
      </c>
      <c r="H304" t="inlineStr">
        <is>
          <t>Övriga statliga verk och myndigheter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45084</v>
      </c>
      <c r="E305" s="1" t="n">
        <v>46251</v>
      </c>
      <c r="F305" t="inlineStr">
        <is>
          <t>VÄRMLANDS LÄN</t>
        </is>
      </c>
      <c r="G305" t="inlineStr">
        <is>
          <t>EDA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46251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46251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46251</v>
      </c>
      <c r="F308" t="inlineStr">
        <is>
          <t>VÄRMLANDS LÄN</t>
        </is>
      </c>
      <c r="G308" t="inlineStr">
        <is>
          <t>EDA</t>
        </is>
      </c>
      <c r="H308" t="inlineStr">
        <is>
          <t>Kommuner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46124</v>
      </c>
      <c r="E309" s="1" t="n">
        <v>46251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46124</v>
      </c>
      <c r="E310" s="1" t="n">
        <v>46251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46251</v>
      </c>
      <c r="F311" t="inlineStr">
        <is>
          <t>VÄRMLANDS LÄN</t>
        </is>
      </c>
      <c r="G311" t="inlineStr">
        <is>
          <t>EDA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46251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46251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46251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46251</v>
      </c>
      <c r="F315" t="inlineStr">
        <is>
          <t>VÄRMLANDS LÄN</t>
        </is>
      </c>
      <c r="G315" t="inlineStr">
        <is>
          <t>EDA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46251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46251</v>
      </c>
      <c r="F317" t="inlineStr">
        <is>
          <t>VÄRMLANDS LÄN</t>
        </is>
      </c>
      <c r="G317" t="inlineStr">
        <is>
          <t>EDA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45434</v>
      </c>
      <c r="E318" s="1" t="n">
        <v>46251</v>
      </c>
      <c r="F318" t="inlineStr">
        <is>
          <t>VÄRMLANDS LÄN</t>
        </is>
      </c>
      <c r="G318" t="inlineStr">
        <is>
          <t>EDA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44426</v>
      </c>
      <c r="E319" s="1" t="n">
        <v>46251</v>
      </c>
      <c r="F319" t="inlineStr">
        <is>
          <t>VÄRMLANDS LÄN</t>
        </is>
      </c>
      <c r="G319" t="inlineStr">
        <is>
          <t>EDA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46251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45037</v>
      </c>
      <c r="E321" s="1" t="n">
        <v>46251</v>
      </c>
      <c r="F321" t="inlineStr">
        <is>
          <t>VÄRMLANDS LÄN</t>
        </is>
      </c>
      <c r="G321" t="inlineStr">
        <is>
          <t>EDA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46251</v>
      </c>
      <c r="F322" t="inlineStr">
        <is>
          <t>VÄRMLANDS LÄN</t>
        </is>
      </c>
      <c r="G322" t="inlineStr">
        <is>
          <t>EDA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57311-2022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44896</v>
      </c>
      <c r="E323" s="1" t="n">
        <v>46251</v>
      </c>
      <c r="F323" t="inlineStr">
        <is>
          <t>VÄRMLANDS LÄN</t>
        </is>
      </c>
      <c r="G323" t="inlineStr">
        <is>
          <t>EDA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44683</v>
      </c>
      <c r="E324" s="1" t="n">
        <v>46251</v>
      </c>
      <c r="F324" t="inlineStr">
        <is>
          <t>VÄRMLANDS LÄN</t>
        </is>
      </c>
      <c r="G324" t="inlineStr">
        <is>
          <t>EDA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46251</v>
      </c>
      <c r="F325" t="inlineStr">
        <is>
          <t>VÄRMLANDS LÄN</t>
        </is>
      </c>
      <c r="G325" t="inlineStr">
        <is>
          <t>EDA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46251</v>
      </c>
      <c r="F326" t="inlineStr">
        <is>
          <t>VÄRMLANDS LÄN</t>
        </is>
      </c>
      <c r="G326" t="inlineStr">
        <is>
          <t>EDA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46251</v>
      </c>
      <c r="F327" t="inlineStr">
        <is>
          <t>VÄRMLANDS LÄN</t>
        </is>
      </c>
      <c r="G327" t="inlineStr">
        <is>
          <t>EDA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46251</v>
      </c>
      <c r="F328" t="inlineStr">
        <is>
          <t>VÄRMLANDS LÄN</t>
        </is>
      </c>
      <c r="G328" t="inlineStr">
        <is>
          <t>EDA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46251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46251</v>
      </c>
      <c r="F330" t="inlineStr">
        <is>
          <t>VÄRMLANDS LÄN</t>
        </is>
      </c>
      <c r="G330" t="inlineStr">
        <is>
          <t>EDA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46251</v>
      </c>
      <c r="F331" t="inlineStr">
        <is>
          <t>VÄRMLANDS LÄN</t>
        </is>
      </c>
      <c r="G331" t="inlineStr">
        <is>
          <t>EDA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46251</v>
      </c>
      <c r="F332" t="inlineStr">
        <is>
          <t>VÄRMLANDS LÄN</t>
        </is>
      </c>
      <c r="G332" t="inlineStr">
        <is>
          <t>EDA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46251</v>
      </c>
      <c r="F333" t="inlineStr">
        <is>
          <t>VÄRMLANDS LÄN</t>
        </is>
      </c>
      <c r="G333" t="inlineStr">
        <is>
          <t>EDA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46251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46251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46251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46251</v>
      </c>
      <c r="F337" t="inlineStr">
        <is>
          <t>VÄRMLANDS LÄN</t>
        </is>
      </c>
      <c r="G337" t="inlineStr">
        <is>
          <t>EDA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46251</v>
      </c>
      <c r="F338" t="inlineStr">
        <is>
          <t>VÄRMLANDS LÄN</t>
        </is>
      </c>
      <c r="G338" t="inlineStr">
        <is>
          <t>EDA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46251</v>
      </c>
      <c r="F339" t="inlineStr">
        <is>
          <t>VÄRMLANDS LÄN</t>
        </is>
      </c>
      <c r="G339" t="inlineStr">
        <is>
          <t>EDA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46251</v>
      </c>
      <c r="F340" t="inlineStr">
        <is>
          <t>VÄRMLANDS LÄN</t>
        </is>
      </c>
      <c r="G340" t="inlineStr">
        <is>
          <t>EDA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46251</v>
      </c>
      <c r="F341" t="inlineStr">
        <is>
          <t>VÄRMLANDS LÄN</t>
        </is>
      </c>
      <c r="G341" t="inlineStr">
        <is>
          <t>EDA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46251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46251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46251</v>
      </c>
      <c r="F344" t="inlineStr">
        <is>
          <t>VÄRMLANDS LÄN</t>
        </is>
      </c>
      <c r="G344" t="inlineStr">
        <is>
          <t>EDA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44714</v>
      </c>
      <c r="E345" s="1" t="n">
        <v>46251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55011-2021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46251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46251</v>
      </c>
      <c r="F347" t="inlineStr">
        <is>
          <t>VÄRMLANDS LÄN</t>
        </is>
      </c>
      <c r="G347" t="inlineStr">
        <is>
          <t>EDA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46251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20495-2024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45435</v>
      </c>
      <c r="E349" s="1" t="n">
        <v>46251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44998</v>
      </c>
      <c r="E350" s="1" t="n">
        <v>46251</v>
      </c>
      <c r="F350" t="inlineStr">
        <is>
          <t>VÄRMLANDS LÄN</t>
        </is>
      </c>
      <c r="G350" t="inlineStr">
        <is>
          <t>EDA</t>
        </is>
      </c>
      <c r="I350" t="n">
        <v>13.6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45016</v>
      </c>
      <c r="E351" s="1" t="n">
        <v>46251</v>
      </c>
      <c r="F351" t="inlineStr">
        <is>
          <t>VÄRMLANDS LÄN</t>
        </is>
      </c>
      <c r="G351" t="inlineStr">
        <is>
          <t>EDA</t>
        </is>
      </c>
      <c r="H351" t="inlineStr">
        <is>
          <t>Övriga statliga verk och myndigheter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44777</v>
      </c>
      <c r="E352" s="1" t="n">
        <v>46251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9221-2025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45714</v>
      </c>
      <c r="E353" s="1" t="n">
        <v>46251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67162-2021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44523</v>
      </c>
      <c r="E354" s="1" t="n">
        <v>46251</v>
      </c>
      <c r="F354" t="inlineStr">
        <is>
          <t>VÄRMLANDS LÄN</t>
        </is>
      </c>
      <c r="G354" t="inlineStr">
        <is>
          <t>EDA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46251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46251</v>
      </c>
      <c r="F356" t="inlineStr">
        <is>
          <t>VÄRMLANDS LÄN</t>
        </is>
      </c>
      <c r="G356" t="inlineStr">
        <is>
          <t>EDA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46251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46251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46251</v>
      </c>
      <c r="F359" t="inlineStr">
        <is>
          <t>VÄRMLANDS LÄN</t>
        </is>
      </c>
      <c r="G359" t="inlineStr">
        <is>
          <t>EDA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46251</v>
      </c>
      <c r="F360" t="inlineStr">
        <is>
          <t>VÄRMLANDS LÄN</t>
        </is>
      </c>
      <c r="G360" t="inlineStr">
        <is>
          <t>EDA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46251</v>
      </c>
      <c r="F361" t="inlineStr">
        <is>
          <t>VÄRMLANDS LÄN</t>
        </is>
      </c>
      <c r="G361" t="inlineStr">
        <is>
          <t>EDA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46251</v>
      </c>
      <c r="F362" t="inlineStr">
        <is>
          <t>VÄRMLANDS LÄN</t>
        </is>
      </c>
      <c r="G362" t="inlineStr">
        <is>
          <t>EDA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46251</v>
      </c>
      <c r="F363" t="inlineStr">
        <is>
          <t>VÄRMLANDS LÄN</t>
        </is>
      </c>
      <c r="G363" t="inlineStr">
        <is>
          <t>EDA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46251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46251</v>
      </c>
      <c r="F365" t="inlineStr">
        <is>
          <t>VÄRMLANDS LÄN</t>
        </is>
      </c>
      <c r="G365" t="inlineStr">
        <is>
          <t>EDA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46251</v>
      </c>
      <c r="F366" t="inlineStr">
        <is>
          <t>VÄRMLANDS LÄN</t>
        </is>
      </c>
      <c r="G366" t="inlineStr">
        <is>
          <t>EDA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46251</v>
      </c>
      <c r="F367" t="inlineStr">
        <is>
          <t>VÄRMLANDS LÄN</t>
        </is>
      </c>
      <c r="G367" t="inlineStr">
        <is>
          <t>EDA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46251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45498</v>
      </c>
      <c r="E369" s="1" t="n">
        <v>46251</v>
      </c>
      <c r="F369" t="inlineStr">
        <is>
          <t>VÄRMLANDS LÄN</t>
        </is>
      </c>
      <c r="G369" t="inlineStr">
        <is>
          <t>EDA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46251</v>
      </c>
      <c r="F370" t="inlineStr">
        <is>
          <t>VÄRMLANDS LÄN</t>
        </is>
      </c>
      <c r="G370" t="inlineStr">
        <is>
          <t>EDA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46251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46251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46251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46251</v>
      </c>
      <c r="F374" t="inlineStr">
        <is>
          <t>VÄRMLANDS LÄN</t>
        </is>
      </c>
      <c r="G374" t="inlineStr">
        <is>
          <t>EDA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46251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46251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46251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46251</v>
      </c>
      <c r="F378" t="inlineStr">
        <is>
          <t>VÄRMLANDS LÄN</t>
        </is>
      </c>
      <c r="G378" t="inlineStr">
        <is>
          <t>EDA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46251</v>
      </c>
      <c r="F379" t="inlineStr">
        <is>
          <t>VÄRMLANDS LÄN</t>
        </is>
      </c>
      <c r="G379" t="inlineStr">
        <is>
          <t>EDA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45510</v>
      </c>
      <c r="E380" s="1" t="n">
        <v>46251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45510</v>
      </c>
      <c r="E381" s="1" t="n">
        <v>46251</v>
      </c>
      <c r="F381" t="inlineStr">
        <is>
          <t>VÄRMLANDS LÄN</t>
        </is>
      </c>
      <c r="G381" t="inlineStr">
        <is>
          <t>EDA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61703-2022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46251</v>
      </c>
      <c r="F382" t="inlineStr">
        <is>
          <t>VÄRMLANDS LÄN</t>
        </is>
      </c>
      <c r="G382" t="inlineStr">
        <is>
          <t>EDA</t>
        </is>
      </c>
      <c r="H382" t="inlineStr">
        <is>
          <t>Bergvik skog väst AB</t>
        </is>
      </c>
      <c r="I382" t="n">
        <v>9.699999999999999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46251</v>
      </c>
      <c r="F383" t="inlineStr">
        <is>
          <t>VÄRMLANDS LÄN</t>
        </is>
      </c>
      <c r="G383" t="inlineStr">
        <is>
          <t>EDA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46251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46251</v>
      </c>
      <c r="F385" t="inlineStr">
        <is>
          <t>VÄRMLANDS LÄN</t>
        </is>
      </c>
      <c r="G385" t="inlineStr">
        <is>
          <t>EDA</t>
        </is>
      </c>
      <c r="H385" t="inlineStr">
        <is>
          <t>Övriga Aktiebolag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46251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61976-2022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44918</v>
      </c>
      <c r="E387" s="1" t="n">
        <v>46251</v>
      </c>
      <c r="F387" t="inlineStr">
        <is>
          <t>VÄRMLANDS LÄN</t>
        </is>
      </c>
      <c r="G387" t="inlineStr">
        <is>
          <t>EDA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46251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46251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46251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44665</v>
      </c>
      <c r="E391" s="1" t="n">
        <v>46251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46251</v>
      </c>
      <c r="F392" t="inlineStr">
        <is>
          <t>VÄRMLANDS LÄN</t>
        </is>
      </c>
      <c r="G392" t="inlineStr">
        <is>
          <t>EDA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46251</v>
      </c>
      <c r="F393" t="inlineStr">
        <is>
          <t>VÄRMLANDS LÄN</t>
        </is>
      </c>
      <c r="G393" t="inlineStr">
        <is>
          <t>EDA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46251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46031</v>
      </c>
      <c r="E395" s="1" t="n">
        <v>46251</v>
      </c>
      <c r="F395" t="inlineStr">
        <is>
          <t>VÄRMLANDS LÄN</t>
        </is>
      </c>
      <c r="G395" t="inlineStr">
        <is>
          <t>EDA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45128</v>
      </c>
      <c r="E396" s="1" t="n">
        <v>46251</v>
      </c>
      <c r="F396" t="inlineStr">
        <is>
          <t>VÄRMLANDS LÄN</t>
        </is>
      </c>
      <c r="G396" t="inlineStr">
        <is>
          <t>EDA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44596</v>
      </c>
      <c r="E397" s="1" t="n">
        <v>46251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46251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44602</v>
      </c>
      <c r="E399" s="1" t="n">
        <v>46251</v>
      </c>
      <c r="F399" t="inlineStr">
        <is>
          <t>VÄRMLANDS LÄN</t>
        </is>
      </c>
      <c r="G399" t="inlineStr">
        <is>
          <t>EDA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12716-2025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46251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46251</v>
      </c>
      <c r="F401" t="inlineStr">
        <is>
          <t>VÄRMLANDS LÄN</t>
        </is>
      </c>
      <c r="G401" t="inlineStr">
        <is>
          <t>EDA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45184</v>
      </c>
      <c r="E402" s="1" t="n">
        <v>46251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48334-2021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44451</v>
      </c>
      <c r="E403" s="1" t="n">
        <v>46251</v>
      </c>
      <c r="F403" t="inlineStr">
        <is>
          <t>VÄRMLANDS LÄN</t>
        </is>
      </c>
      <c r="G403" t="inlineStr">
        <is>
          <t>EDA</t>
        </is>
      </c>
      <c r="I403" t="n">
        <v>12.4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46251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46251</v>
      </c>
      <c r="F405" t="inlineStr">
        <is>
          <t>VÄRMLANDS LÄN</t>
        </is>
      </c>
      <c r="G405" t="inlineStr">
        <is>
          <t>EDA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18076-2023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45040</v>
      </c>
      <c r="E406" s="1" t="n">
        <v>46251</v>
      </c>
      <c r="F406" t="inlineStr">
        <is>
          <t>VÄRMLANDS LÄN</t>
        </is>
      </c>
      <c r="G406" t="inlineStr">
        <is>
          <t>EDA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46251</v>
      </c>
      <c r="F407" t="inlineStr">
        <is>
          <t>VÄRMLANDS LÄN</t>
        </is>
      </c>
      <c r="G407" t="inlineStr">
        <is>
          <t>EDA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66222-2021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46251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45856</v>
      </c>
      <c r="E409" s="1" t="n">
        <v>46251</v>
      </c>
      <c r="F409" t="inlineStr">
        <is>
          <t>VÄRMLANDS LÄN</t>
        </is>
      </c>
      <c r="G409" t="inlineStr">
        <is>
          <t>EDA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45856</v>
      </c>
      <c r="E410" s="1" t="n">
        <v>46251</v>
      </c>
      <c r="F410" t="inlineStr">
        <is>
          <t>VÄRMLANDS LÄN</t>
        </is>
      </c>
      <c r="G410" t="inlineStr">
        <is>
          <t>EDA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46251</v>
      </c>
      <c r="F411" t="inlineStr">
        <is>
          <t>VÄRMLANDS LÄN</t>
        </is>
      </c>
      <c r="G411" t="inlineStr">
        <is>
          <t>EDA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41779-2023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45176</v>
      </c>
      <c r="E412" s="1" t="n">
        <v>46251</v>
      </c>
      <c r="F412" t="inlineStr">
        <is>
          <t>VÄRMLANDS LÄN</t>
        </is>
      </c>
      <c r="G412" t="inlineStr">
        <is>
          <t>EDA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52338-2023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45224</v>
      </c>
      <c r="E413" s="1" t="n">
        <v>46251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45021</v>
      </c>
      <c r="E414" s="1" t="n">
        <v>46251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46251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45704</v>
      </c>
      <c r="E416" s="1" t="n">
        <v>46251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53972-2021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44470</v>
      </c>
      <c r="E417" s="1" t="n">
        <v>46251</v>
      </c>
      <c r="F417" t="inlineStr">
        <is>
          <t>VÄRMLANDS LÄN</t>
        </is>
      </c>
      <c r="G417" t="inlineStr">
        <is>
          <t>EDA</t>
        </is>
      </c>
      <c r="I417" t="n">
        <v>10.5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46251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46251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46251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46251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46251</v>
      </c>
      <c r="F422" t="inlineStr">
        <is>
          <t>VÄRMLANDS LÄN</t>
        </is>
      </c>
      <c r="G422" t="inlineStr">
        <is>
          <t>EDA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46251</v>
      </c>
      <c r="F423" t="inlineStr">
        <is>
          <t>VÄRMLANDS LÄN</t>
        </is>
      </c>
      <c r="G423" t="inlineStr">
        <is>
          <t>EDA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46251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46251</v>
      </c>
      <c r="F425" t="inlineStr">
        <is>
          <t>VÄRMLANDS LÄN</t>
        </is>
      </c>
      <c r="G425" t="inlineStr">
        <is>
          <t>EDA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46251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46251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46251</v>
      </c>
      <c r="F428" t="inlineStr">
        <is>
          <t>VÄRMLANDS LÄN</t>
        </is>
      </c>
      <c r="G428" t="inlineStr">
        <is>
          <t>EDA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64705-2023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46251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64686-2023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46251</v>
      </c>
      <c r="F430" t="inlineStr">
        <is>
          <t>VÄRMLANDS LÄN</t>
        </is>
      </c>
      <c r="G430" t="inlineStr">
        <is>
          <t>EDA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45804</v>
      </c>
      <c r="E431" s="1" t="n">
        <v>46251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46251</v>
      </c>
      <c r="F432" t="inlineStr">
        <is>
          <t>VÄRMLANDS LÄN</t>
        </is>
      </c>
      <c r="G432" t="inlineStr">
        <is>
          <t>EDA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45418</v>
      </c>
      <c r="E433" s="1" t="n">
        <v>46251</v>
      </c>
      <c r="F433" t="inlineStr">
        <is>
          <t>VÄRMLANDS LÄN</t>
        </is>
      </c>
      <c r="G433" t="inlineStr">
        <is>
          <t>EDA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46251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46251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46251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46041</v>
      </c>
      <c r="E437" s="1" t="n">
        <v>46251</v>
      </c>
      <c r="F437" t="inlineStr">
        <is>
          <t>VÄRMLANDS LÄN</t>
        </is>
      </c>
      <c r="G437" t="inlineStr">
        <is>
          <t>EDA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46251</v>
      </c>
      <c r="F438" t="inlineStr">
        <is>
          <t>VÄRMLANDS LÄN</t>
        </is>
      </c>
      <c r="G438" t="inlineStr">
        <is>
          <t>EDA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46251</v>
      </c>
      <c r="F439" t="inlineStr">
        <is>
          <t>VÄRMLANDS LÄN</t>
        </is>
      </c>
      <c r="G439" t="inlineStr">
        <is>
          <t>EDA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44937</v>
      </c>
      <c r="E440" s="1" t="n">
        <v>46251</v>
      </c>
      <c r="F440" t="inlineStr">
        <is>
          <t>VÄRMLANDS LÄN</t>
        </is>
      </c>
      <c r="G440" t="inlineStr">
        <is>
          <t>EDA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46251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46251</v>
      </c>
      <c r="F442" t="inlineStr">
        <is>
          <t>VÄRMLANDS LÄN</t>
        </is>
      </c>
      <c r="G442" t="inlineStr">
        <is>
          <t>EDA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46251</v>
      </c>
      <c r="F443" t="inlineStr">
        <is>
          <t>VÄRMLANDS LÄN</t>
        </is>
      </c>
      <c r="G443" t="inlineStr">
        <is>
          <t>EDA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46251</v>
      </c>
      <c r="F444" t="inlineStr">
        <is>
          <t>VÄRMLANDS LÄN</t>
        </is>
      </c>
      <c r="G444" t="inlineStr">
        <is>
          <t>EDA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46251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45162</v>
      </c>
      <c r="E446" s="1" t="n">
        <v>46251</v>
      </c>
      <c r="F446" t="inlineStr">
        <is>
          <t>VÄRMLANDS LÄN</t>
        </is>
      </c>
      <c r="G446" t="inlineStr">
        <is>
          <t>EDA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45139</v>
      </c>
      <c r="E447" s="1" t="n">
        <v>46251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46251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46251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46251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46251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46251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46251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46251</v>
      </c>
      <c r="F454" t="inlineStr">
        <is>
          <t>VÄRMLANDS LÄN</t>
        </is>
      </c>
      <c r="G454" t="inlineStr">
        <is>
          <t>EDA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46251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46251</v>
      </c>
      <c r="F456" t="inlineStr">
        <is>
          <t>VÄRMLANDS LÄN</t>
        </is>
      </c>
      <c r="G456" t="inlineStr">
        <is>
          <t>EDA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44966</v>
      </c>
      <c r="E457" s="1" t="n">
        <v>46251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46251</v>
      </c>
      <c r="F458" t="inlineStr">
        <is>
          <t>VÄRMLANDS LÄN</t>
        </is>
      </c>
      <c r="G458" t="inlineStr">
        <is>
          <t>EDA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46251</v>
      </c>
      <c r="F459" t="inlineStr">
        <is>
          <t>VÄRMLANDS LÄN</t>
        </is>
      </c>
      <c r="G459" t="inlineStr">
        <is>
          <t>EDA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46251</v>
      </c>
      <c r="F460" t="inlineStr">
        <is>
          <t>VÄRMLANDS LÄN</t>
        </is>
      </c>
      <c r="G460" t="inlineStr">
        <is>
          <t>EDA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57121-2023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45245</v>
      </c>
      <c r="E461" s="1" t="n">
        <v>46251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46251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46251</v>
      </c>
      <c r="F463" t="inlineStr">
        <is>
          <t>VÄRMLANDS LÄN</t>
        </is>
      </c>
      <c r="G463" t="inlineStr">
        <is>
          <t>EDA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44790</v>
      </c>
      <c r="E464" s="1" t="n">
        <v>46251</v>
      </c>
      <c r="F464" t="inlineStr">
        <is>
          <t>VÄRMLANDS LÄN</t>
        </is>
      </c>
      <c r="G464" t="inlineStr">
        <is>
          <t>EDA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46251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46251</v>
      </c>
      <c r="F466" t="inlineStr">
        <is>
          <t>VÄRMLANDS LÄN</t>
        </is>
      </c>
      <c r="G466" t="inlineStr">
        <is>
          <t>EDA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46251</v>
      </c>
      <c r="F467" t="inlineStr">
        <is>
          <t>VÄRMLANDS LÄN</t>
        </is>
      </c>
      <c r="G467" t="inlineStr">
        <is>
          <t>EDA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46251</v>
      </c>
      <c r="F468" t="inlineStr">
        <is>
          <t>VÄRMLANDS LÄN</t>
        </is>
      </c>
      <c r="G468" t="inlineStr">
        <is>
          <t>EDA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46251</v>
      </c>
      <c r="F469" t="inlineStr">
        <is>
          <t>VÄRMLANDS LÄN</t>
        </is>
      </c>
      <c r="G469" t="inlineStr">
        <is>
          <t>EDA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46251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46251</v>
      </c>
      <c r="F471" t="inlineStr">
        <is>
          <t>VÄRMLANDS LÄN</t>
        </is>
      </c>
      <c r="G471" t="inlineStr">
        <is>
          <t>EDA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46251</v>
      </c>
      <c r="F472" t="inlineStr">
        <is>
          <t>VÄRMLANDS LÄN</t>
        </is>
      </c>
      <c r="G472" t="inlineStr">
        <is>
          <t>EDA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46059</v>
      </c>
      <c r="E473" s="1" t="n">
        <v>46251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46251</v>
      </c>
      <c r="F474" t="inlineStr">
        <is>
          <t>VÄRMLANDS LÄN</t>
        </is>
      </c>
      <c r="G474" t="inlineStr">
        <is>
          <t>EDA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45733</v>
      </c>
      <c r="E475" s="1" t="n">
        <v>46251</v>
      </c>
      <c r="F475" t="inlineStr">
        <is>
          <t>VÄRMLANDS LÄN</t>
        </is>
      </c>
      <c r="G475" t="inlineStr">
        <is>
          <t>EDA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46251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52809-2021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44467</v>
      </c>
      <c r="E477" s="1" t="n">
        <v>46251</v>
      </c>
      <c r="F477" t="inlineStr">
        <is>
          <t>VÄRMLANDS LÄN</t>
        </is>
      </c>
      <c r="G477" t="inlineStr">
        <is>
          <t>EDA</t>
        </is>
      </c>
      <c r="H477" t="inlineStr">
        <is>
          <t>Övriga Aktiebolag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46251</v>
      </c>
      <c r="F478" t="inlineStr">
        <is>
          <t>VÄRMLANDS LÄN</t>
        </is>
      </c>
      <c r="G478" t="inlineStr">
        <is>
          <t>EDA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46251</v>
      </c>
      <c r="F479" t="inlineStr">
        <is>
          <t>VÄRMLANDS LÄN</t>
        </is>
      </c>
      <c r="G479" t="inlineStr">
        <is>
          <t>EDA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45804</v>
      </c>
      <c r="E480" s="1" t="n">
        <v>46251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44636</v>
      </c>
      <c r="E481" s="1" t="n">
        <v>46251</v>
      </c>
      <c r="F481" t="inlineStr">
        <is>
          <t>VÄRMLANDS LÄN</t>
        </is>
      </c>
      <c r="G481" t="inlineStr">
        <is>
          <t>EDA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46251</v>
      </c>
      <c r="F482" t="inlineStr">
        <is>
          <t>VÄRMLANDS LÄN</t>
        </is>
      </c>
      <c r="G482" t="inlineStr">
        <is>
          <t>EDA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46251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45736</v>
      </c>
      <c r="E484" s="1" t="n">
        <v>46251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46251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46251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46251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45308</v>
      </c>
      <c r="E488" s="1" t="n">
        <v>46251</v>
      </c>
      <c r="F488" t="inlineStr">
        <is>
          <t>VÄRMLANDS LÄN</t>
        </is>
      </c>
      <c r="G488" t="inlineStr">
        <is>
          <t>EDA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45642</v>
      </c>
      <c r="E489" s="1" t="n">
        <v>46251</v>
      </c>
      <c r="F489" t="inlineStr">
        <is>
          <t>VÄRMLANDS LÄN</t>
        </is>
      </c>
      <c r="G489" t="inlineStr">
        <is>
          <t>EDA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45054</v>
      </c>
      <c r="E490" s="1" t="n">
        <v>46251</v>
      </c>
      <c r="F490" t="inlineStr">
        <is>
          <t>VÄRMLANDS LÄN</t>
        </is>
      </c>
      <c r="G490" t="inlineStr">
        <is>
          <t>EDA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45105</v>
      </c>
      <c r="E491" s="1" t="n">
        <v>46251</v>
      </c>
      <c r="F491" t="inlineStr">
        <is>
          <t>VÄRMLANDS LÄN</t>
        </is>
      </c>
      <c r="G491" t="inlineStr">
        <is>
          <t>EDA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46251</v>
      </c>
      <c r="F492" t="inlineStr">
        <is>
          <t>VÄRMLANDS LÄN</t>
        </is>
      </c>
      <c r="G492" t="inlineStr">
        <is>
          <t>EDA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45727</v>
      </c>
      <c r="E493" s="1" t="n">
        <v>46251</v>
      </c>
      <c r="F493" t="inlineStr">
        <is>
          <t>VÄRMLANDS LÄN</t>
        </is>
      </c>
      <c r="G493" t="inlineStr">
        <is>
          <t>EDA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46251</v>
      </c>
      <c r="F494" t="inlineStr">
        <is>
          <t>VÄRMLANDS LÄN</t>
        </is>
      </c>
      <c r="G494" t="inlineStr">
        <is>
          <t>EDA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46251</v>
      </c>
      <c r="F495" t="inlineStr">
        <is>
          <t>VÄRMLANDS LÄN</t>
        </is>
      </c>
      <c r="G495" t="inlineStr">
        <is>
          <t>EDA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45866</v>
      </c>
      <c r="E496" s="1" t="n">
        <v>46251</v>
      </c>
      <c r="F496" t="inlineStr">
        <is>
          <t>VÄRMLANDS LÄN</t>
        </is>
      </c>
      <c r="G496" t="inlineStr">
        <is>
          <t>EDA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44899</v>
      </c>
      <c r="E497" s="1" t="n">
        <v>46251</v>
      </c>
      <c r="F497" t="inlineStr">
        <is>
          <t>VÄRMLANDS LÄN</t>
        </is>
      </c>
      <c r="G497" t="inlineStr">
        <is>
          <t>EDA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46251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46251</v>
      </c>
      <c r="F499" t="inlineStr">
        <is>
          <t>VÄRMLANDS LÄN</t>
        </is>
      </c>
      <c r="G499" t="inlineStr">
        <is>
          <t>EDA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59805-2021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46251</v>
      </c>
      <c r="F500" t="inlineStr">
        <is>
          <t>VÄRMLANDS LÄN</t>
        </is>
      </c>
      <c r="G500" t="inlineStr">
        <is>
          <t>EDA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45611</v>
      </c>
      <c r="E501" s="1" t="n">
        <v>46251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46069</v>
      </c>
      <c r="E502" s="1" t="n">
        <v>46251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44776</v>
      </c>
      <c r="E503" s="1" t="n">
        <v>46251</v>
      </c>
      <c r="F503" t="inlineStr">
        <is>
          <t>VÄRMLANDS LÄN</t>
        </is>
      </c>
      <c r="G503" t="inlineStr">
        <is>
          <t>EDA</t>
        </is>
      </c>
      <c r="H503" t="inlineStr">
        <is>
          <t>Kommuner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46251</v>
      </c>
      <c r="F504" t="inlineStr">
        <is>
          <t>VÄRMLANDS LÄN</t>
        </is>
      </c>
      <c r="G504" t="inlineStr">
        <is>
          <t>EDA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45310</v>
      </c>
      <c r="E505" s="1" t="n">
        <v>46251</v>
      </c>
      <c r="F505" t="inlineStr">
        <is>
          <t>VÄRMLANDS LÄN</t>
        </is>
      </c>
      <c r="G505" t="inlineStr">
        <is>
          <t>EDA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46251</v>
      </c>
      <c r="F506" t="inlineStr">
        <is>
          <t>VÄRMLANDS LÄN</t>
        </is>
      </c>
      <c r="G506" t="inlineStr">
        <is>
          <t>EDA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46251</v>
      </c>
      <c r="F507" t="inlineStr">
        <is>
          <t>VÄRMLANDS LÄN</t>
        </is>
      </c>
      <c r="G507" t="inlineStr">
        <is>
          <t>EDA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46251</v>
      </c>
      <c r="F508" t="inlineStr">
        <is>
          <t>VÄRMLANDS LÄN</t>
        </is>
      </c>
      <c r="G508" t="inlineStr">
        <is>
          <t>EDA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45692</v>
      </c>
      <c r="E509" s="1" t="n">
        <v>46251</v>
      </c>
      <c r="F509" t="inlineStr">
        <is>
          <t>VÄRMLANDS LÄN</t>
        </is>
      </c>
      <c r="G509" t="inlineStr">
        <is>
          <t>EDA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46251</v>
      </c>
      <c r="F510" t="inlineStr">
        <is>
          <t>VÄRMLANDS LÄN</t>
        </is>
      </c>
      <c r="G510" t="inlineStr">
        <is>
          <t>EDA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46251</v>
      </c>
      <c r="F511" t="inlineStr">
        <is>
          <t>VÄRMLANDS LÄN</t>
        </is>
      </c>
      <c r="G511" t="inlineStr">
        <is>
          <t>EDA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46251</v>
      </c>
      <c r="F512" t="inlineStr">
        <is>
          <t>VÄRMLANDS LÄN</t>
        </is>
      </c>
      <c r="G512" t="inlineStr">
        <is>
          <t>EDA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46251</v>
      </c>
      <c r="F513" t="inlineStr">
        <is>
          <t>VÄRMLANDS LÄN</t>
        </is>
      </c>
      <c r="G513" t="inlineStr">
        <is>
          <t>EDA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44883</v>
      </c>
      <c r="E514" s="1" t="n">
        <v>46251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46251</v>
      </c>
      <c r="F515" t="inlineStr">
        <is>
          <t>VÄRMLANDS LÄN</t>
        </is>
      </c>
      <c r="G515" t="inlineStr">
        <is>
          <t>EDA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46251</v>
      </c>
      <c r="F516" t="inlineStr">
        <is>
          <t>VÄRMLANDS LÄN</t>
        </is>
      </c>
      <c r="G516" t="inlineStr">
        <is>
          <t>EDA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49229-2023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46251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45307</v>
      </c>
      <c r="E518" s="1" t="n">
        <v>46251</v>
      </c>
      <c r="F518" t="inlineStr">
        <is>
          <t>VÄRMLANDS LÄN</t>
        </is>
      </c>
      <c r="G518" t="inlineStr">
        <is>
          <t>EDA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46251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46251</v>
      </c>
      <c r="F520" t="inlineStr">
        <is>
          <t>VÄRMLANDS LÄN</t>
        </is>
      </c>
      <c r="G520" t="inlineStr">
        <is>
          <t>EDA</t>
        </is>
      </c>
      <c r="H520" t="inlineStr">
        <is>
          <t>Övriga Aktiebolag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45153</v>
      </c>
      <c r="E521" s="1" t="n">
        <v>46251</v>
      </c>
      <c r="F521" t="inlineStr">
        <is>
          <t>VÄRMLANDS LÄN</t>
        </is>
      </c>
      <c r="G521" t="inlineStr">
        <is>
          <t>EDA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44881</v>
      </c>
      <c r="E522" s="1" t="n">
        <v>46251</v>
      </c>
      <c r="F522" t="inlineStr">
        <is>
          <t>VÄRMLANDS LÄN</t>
        </is>
      </c>
      <c r="G522" t="inlineStr">
        <is>
          <t>EDA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14795-2024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45397</v>
      </c>
      <c r="E523" s="1" t="n">
        <v>46251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46251</v>
      </c>
      <c r="F524" t="inlineStr">
        <is>
          <t>VÄRMLANDS LÄN</t>
        </is>
      </c>
      <c r="G524" t="inlineStr">
        <is>
          <t>EDA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43524-2023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45184</v>
      </c>
      <c r="E525" s="1" t="n">
        <v>46251</v>
      </c>
      <c r="F525" t="inlineStr">
        <is>
          <t>VÄRMLANDS LÄN</t>
        </is>
      </c>
      <c r="G525" t="inlineStr">
        <is>
          <t>EDA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46251</v>
      </c>
      <c r="F526" t="inlineStr">
        <is>
          <t>VÄRMLANDS LÄN</t>
        </is>
      </c>
      <c r="G526" t="inlineStr">
        <is>
          <t>EDA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46251</v>
      </c>
      <c r="F527" t="inlineStr">
        <is>
          <t>VÄRMLANDS LÄN</t>
        </is>
      </c>
      <c r="G527" t="inlineStr">
        <is>
          <t>EDA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45392</v>
      </c>
      <c r="E528" s="1" t="n">
        <v>46251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46251</v>
      </c>
      <c r="F529" t="inlineStr">
        <is>
          <t>VÄRMLANDS LÄN</t>
        </is>
      </c>
      <c r="G529" t="inlineStr">
        <is>
          <t>EDA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46251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46251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26947-2025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45811</v>
      </c>
      <c r="E532" s="1" t="n">
        <v>46251</v>
      </c>
      <c r="F532" t="inlineStr">
        <is>
          <t>VÄRMLANDS LÄN</t>
        </is>
      </c>
      <c r="G532" t="inlineStr">
        <is>
          <t>EDA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44935</v>
      </c>
      <c r="E533" s="1" t="n">
        <v>46251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58815-2024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45636</v>
      </c>
      <c r="E534" s="1" t="n">
        <v>46251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46251</v>
      </c>
      <c r="F535" t="inlineStr">
        <is>
          <t>VÄRMLANDS LÄN</t>
        </is>
      </c>
      <c r="G535" t="inlineStr">
        <is>
          <t>EDA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44867</v>
      </c>
      <c r="E536" s="1" t="n">
        <v>46251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46251</v>
      </c>
      <c r="F537" t="inlineStr">
        <is>
          <t>VÄRMLANDS LÄN</t>
        </is>
      </c>
      <c r="G537" t="inlineStr">
        <is>
          <t>EDA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45149</v>
      </c>
      <c r="E538" s="1" t="n">
        <v>46251</v>
      </c>
      <c r="F538" t="inlineStr">
        <is>
          <t>VÄRMLANDS LÄN</t>
        </is>
      </c>
      <c r="G538" t="inlineStr">
        <is>
          <t>EDA</t>
        </is>
      </c>
      <c r="H538" t="inlineStr">
        <is>
          <t>Kommuner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46251</v>
      </c>
      <c r="F539" t="inlineStr">
        <is>
          <t>VÄRMLANDS LÄN</t>
        </is>
      </c>
      <c r="G539" t="inlineStr">
        <is>
          <t>EDA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46148</v>
      </c>
      <c r="E540" s="1" t="n">
        <v>46251</v>
      </c>
      <c r="F540" t="inlineStr">
        <is>
          <t>VÄRMLANDS LÄN</t>
        </is>
      </c>
      <c r="G540" t="inlineStr">
        <is>
          <t>EDA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46251</v>
      </c>
      <c r="F541" t="inlineStr">
        <is>
          <t>VÄRMLANDS LÄN</t>
        </is>
      </c>
      <c r="G541" t="inlineStr">
        <is>
          <t>EDA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46251</v>
      </c>
      <c r="F542" t="inlineStr">
        <is>
          <t>VÄRMLANDS LÄN</t>
        </is>
      </c>
      <c r="G542" t="inlineStr">
        <is>
          <t>EDA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46251</v>
      </c>
      <c r="F543" t="inlineStr">
        <is>
          <t>VÄRMLANDS LÄN</t>
        </is>
      </c>
      <c r="G543" t="inlineStr">
        <is>
          <t>EDA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46251</v>
      </c>
      <c r="F544" t="inlineStr">
        <is>
          <t>VÄRMLANDS LÄN</t>
        </is>
      </c>
      <c r="G544" t="inlineStr">
        <is>
          <t>EDA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46251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46251</v>
      </c>
      <c r="F546" t="inlineStr">
        <is>
          <t>VÄRMLANDS LÄN</t>
        </is>
      </c>
      <c r="G546" t="inlineStr">
        <is>
          <t>EDA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21286-2026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46147</v>
      </c>
      <c r="E547" s="1" t="n">
        <v>46251</v>
      </c>
      <c r="F547" t="inlineStr">
        <is>
          <t>VÄRMLANDS LÄN</t>
        </is>
      </c>
      <c r="G547" t="inlineStr">
        <is>
          <t>EDA</t>
        </is>
      </c>
      <c r="I547" t="n">
        <v>6.2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46251</v>
      </c>
      <c r="F548" t="inlineStr">
        <is>
          <t>VÄRMLANDS LÄN</t>
        </is>
      </c>
      <c r="G548" t="inlineStr">
        <is>
          <t>EDA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46251</v>
      </c>
      <c r="F549" t="inlineStr">
        <is>
          <t>VÄRMLANDS LÄN</t>
        </is>
      </c>
      <c r="G549" t="inlineStr">
        <is>
          <t>EDA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46251</v>
      </c>
      <c r="F550" t="inlineStr">
        <is>
          <t>VÄRMLANDS LÄN</t>
        </is>
      </c>
      <c r="G550" t="inlineStr">
        <is>
          <t>EDA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45054</v>
      </c>
      <c r="E551" s="1" t="n">
        <v>46251</v>
      </c>
      <c r="F551" t="inlineStr">
        <is>
          <t>VÄRMLANDS LÄN</t>
        </is>
      </c>
      <c r="G551" t="inlineStr">
        <is>
          <t>EDA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46251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12281-2025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45729</v>
      </c>
      <c r="E553" s="1" t="n">
        <v>46251</v>
      </c>
      <c r="F553" t="inlineStr">
        <is>
          <t>VÄRMLANDS LÄN</t>
        </is>
      </c>
      <c r="G553" t="inlineStr">
        <is>
          <t>EDA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45482</v>
      </c>
      <c r="E554" s="1" t="n">
        <v>46251</v>
      </c>
      <c r="F554" t="inlineStr">
        <is>
          <t>VÄRMLANDS LÄN</t>
        </is>
      </c>
      <c r="G554" t="inlineStr">
        <is>
          <t>EDA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45751</v>
      </c>
      <c r="E555" s="1" t="n">
        <v>46251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46251</v>
      </c>
      <c r="F556" t="inlineStr">
        <is>
          <t>VÄRMLANDS LÄN</t>
        </is>
      </c>
      <c r="G556" t="inlineStr">
        <is>
          <t>EDA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45756</v>
      </c>
      <c r="E557" s="1" t="n">
        <v>46251</v>
      </c>
      <c r="F557" t="inlineStr">
        <is>
          <t>VÄRMLANDS LÄN</t>
        </is>
      </c>
      <c r="G557" t="inlineStr">
        <is>
          <t>EDA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46251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46251</v>
      </c>
      <c r="F559" t="inlineStr">
        <is>
          <t>VÄRMLANDS LÄN</t>
        </is>
      </c>
      <c r="G559" t="inlineStr">
        <is>
          <t>EDA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45152</v>
      </c>
      <c r="E560" s="1" t="n">
        <v>46251</v>
      </c>
      <c r="F560" t="inlineStr">
        <is>
          <t>VÄRMLANDS LÄN</t>
        </is>
      </c>
      <c r="G560" t="inlineStr">
        <is>
          <t>EDA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45539</v>
      </c>
      <c r="E561" s="1" t="n">
        <v>46251</v>
      </c>
      <c r="F561" t="inlineStr">
        <is>
          <t>VÄRMLANDS LÄN</t>
        </is>
      </c>
      <c r="G561" t="inlineStr">
        <is>
          <t>EDA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46251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45747-2024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46251</v>
      </c>
      <c r="F563" t="inlineStr">
        <is>
          <t>VÄRMLANDS LÄN</t>
        </is>
      </c>
      <c r="G563" t="inlineStr">
        <is>
          <t>EDA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46251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46251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46251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44966</v>
      </c>
      <c r="E567" s="1" t="n">
        <v>46251</v>
      </c>
      <c r="F567" t="inlineStr">
        <is>
          <t>VÄRMLANDS LÄN</t>
        </is>
      </c>
      <c r="G567" t="inlineStr">
        <is>
          <t>EDA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6537-2023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44966</v>
      </c>
      <c r="E568" s="1" t="n">
        <v>46251</v>
      </c>
      <c r="F568" t="inlineStr">
        <is>
          <t>VÄRMLANDS LÄN</t>
        </is>
      </c>
      <c r="G568" t="inlineStr">
        <is>
          <t>EDA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58261-2022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44901</v>
      </c>
      <c r="E569" s="1" t="n">
        <v>46251</v>
      </c>
      <c r="F569" t="inlineStr">
        <is>
          <t>VÄRMLANDS LÄN</t>
        </is>
      </c>
      <c r="G569" t="inlineStr">
        <is>
          <t>EDA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44918</v>
      </c>
      <c r="E570" s="1" t="n">
        <v>46251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45336</v>
      </c>
      <c r="E571" s="1" t="n">
        <v>46251</v>
      </c>
      <c r="F571" t="inlineStr">
        <is>
          <t>VÄRMLANDS LÄN</t>
        </is>
      </c>
      <c r="G571" t="inlineStr">
        <is>
          <t>EDA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46154</v>
      </c>
      <c r="E572" s="1" t="n">
        <v>46251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46251</v>
      </c>
      <c r="F573" t="inlineStr">
        <is>
          <t>VÄRMLANDS LÄN</t>
        </is>
      </c>
      <c r="G573" t="inlineStr">
        <is>
          <t>EDA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51468-2023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45221</v>
      </c>
      <c r="E574" s="1" t="n">
        <v>46251</v>
      </c>
      <c r="F574" t="inlineStr">
        <is>
          <t>VÄRMLANDS LÄN</t>
        </is>
      </c>
      <c r="G574" t="inlineStr">
        <is>
          <t>EDA</t>
        </is>
      </c>
      <c r="H574" t="inlineStr">
        <is>
          <t>Kommuner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45221</v>
      </c>
      <c r="E575" s="1" t="n">
        <v>46251</v>
      </c>
      <c r="F575" t="inlineStr">
        <is>
          <t>VÄRMLANDS LÄN</t>
        </is>
      </c>
      <c r="G575" t="inlineStr">
        <is>
          <t>EDA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46251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45147-2023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46251</v>
      </c>
      <c r="F577" t="inlineStr">
        <is>
          <t>VÄRMLANDS LÄN</t>
        </is>
      </c>
      <c r="G577" t="inlineStr">
        <is>
          <t>EDA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70554-2021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44537</v>
      </c>
      <c r="E578" s="1" t="n">
        <v>46251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46251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45015</v>
      </c>
      <c r="E580" s="1" t="n">
        <v>46251</v>
      </c>
      <c r="F580" t="inlineStr">
        <is>
          <t>VÄRMLANDS LÄN</t>
        </is>
      </c>
      <c r="G580" t="inlineStr">
        <is>
          <t>EDA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46251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71724-2021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46251</v>
      </c>
      <c r="F582" t="inlineStr">
        <is>
          <t>VÄRMLANDS LÄN</t>
        </is>
      </c>
      <c r="G582" t="inlineStr">
        <is>
          <t>EDA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46251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45142</v>
      </c>
      <c r="E584" s="1" t="n">
        <v>46251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45694</v>
      </c>
      <c r="E585" s="1" t="n">
        <v>46251</v>
      </c>
      <c r="F585" t="inlineStr">
        <is>
          <t>VÄRMLANDS LÄN</t>
        </is>
      </c>
      <c r="G585" t="inlineStr">
        <is>
          <t>EDA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46251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45729</v>
      </c>
      <c r="E587" s="1" t="n">
        <v>46251</v>
      </c>
      <c r="F587" t="inlineStr">
        <is>
          <t>VÄRMLANDS LÄN</t>
        </is>
      </c>
      <c r="G587" t="inlineStr">
        <is>
          <t>EDA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46251</v>
      </c>
      <c r="F588" t="inlineStr">
        <is>
          <t>VÄRMLANDS LÄN</t>
        </is>
      </c>
      <c r="G588" t="inlineStr">
        <is>
          <t>EDA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45684</v>
      </c>
      <c r="E589" s="1" t="n">
        <v>46251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45904</v>
      </c>
      <c r="E590" s="1" t="n">
        <v>46251</v>
      </c>
      <c r="F590" t="inlineStr">
        <is>
          <t>VÄRMLANDS LÄN</t>
        </is>
      </c>
      <c r="G590" t="inlineStr">
        <is>
          <t>EDA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46251</v>
      </c>
      <c r="F591" t="inlineStr">
        <is>
          <t>VÄRMLANDS LÄN</t>
        </is>
      </c>
      <c r="G591" t="inlineStr">
        <is>
          <t>EDA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44798</v>
      </c>
      <c r="E592" s="1" t="n">
        <v>46251</v>
      </c>
      <c r="F592" t="inlineStr">
        <is>
          <t>VÄRMLANDS LÄN</t>
        </is>
      </c>
      <c r="G592" t="inlineStr">
        <is>
          <t>EDA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46251</v>
      </c>
      <c r="F593" t="inlineStr">
        <is>
          <t>VÄRMLANDS LÄN</t>
        </is>
      </c>
      <c r="G593" t="inlineStr">
        <is>
          <t>EDA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45623</v>
      </c>
      <c r="E594" s="1" t="n">
        <v>46251</v>
      </c>
      <c r="F594" t="inlineStr">
        <is>
          <t>VÄRMLANDS LÄN</t>
        </is>
      </c>
      <c r="G594" t="inlineStr">
        <is>
          <t>EDA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5431-2025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45692</v>
      </c>
      <c r="E595" s="1" t="n">
        <v>46251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46251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45140</v>
      </c>
      <c r="E597" s="1" t="n">
        <v>46251</v>
      </c>
      <c r="F597" t="inlineStr">
        <is>
          <t>VÄRMLANDS LÄN</t>
        </is>
      </c>
      <c r="G597" t="inlineStr">
        <is>
          <t>EDA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45408</v>
      </c>
      <c r="E598" s="1" t="n">
        <v>46251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44674-2023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46251</v>
      </c>
      <c r="F599" t="inlineStr">
        <is>
          <t>VÄRMLANDS LÄN</t>
        </is>
      </c>
      <c r="G599" t="inlineStr">
        <is>
          <t>EDA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46251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46251</v>
      </c>
      <c r="F601" t="inlineStr">
        <is>
          <t>VÄRMLANDS LÄN</t>
        </is>
      </c>
      <c r="G601" t="inlineStr">
        <is>
          <t>EDA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20598-2025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46251</v>
      </c>
      <c r="F602" t="inlineStr">
        <is>
          <t>VÄRMLANDS LÄN</t>
        </is>
      </c>
      <c r="G602" t="inlineStr">
        <is>
          <t>EDA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45532</v>
      </c>
      <c r="E603" s="1" t="n">
        <v>46251</v>
      </c>
      <c r="F603" t="inlineStr">
        <is>
          <t>VÄRMLANDS LÄN</t>
        </is>
      </c>
      <c r="G603" t="inlineStr">
        <is>
          <t>EDA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36157-2023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45149</v>
      </c>
      <c r="E604" s="1" t="n">
        <v>46251</v>
      </c>
      <c r="F604" t="inlineStr">
        <is>
          <t>VÄRMLANDS LÄN</t>
        </is>
      </c>
      <c r="G604" t="inlineStr">
        <is>
          <t>EDA</t>
        </is>
      </c>
      <c r="H604" t="inlineStr">
        <is>
          <t>Kommuner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20601-2025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45775</v>
      </c>
      <c r="E605" s="1" t="n">
        <v>46251</v>
      </c>
      <c r="F605" t="inlineStr">
        <is>
          <t>VÄRMLANDS LÄN</t>
        </is>
      </c>
      <c r="G605" t="inlineStr">
        <is>
          <t>EDA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46251</v>
      </c>
      <c r="F606" t="inlineStr">
        <is>
          <t>VÄRMLANDS LÄN</t>
        </is>
      </c>
      <c r="G606" t="inlineStr">
        <is>
          <t>EDA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46251</v>
      </c>
      <c r="F607" t="inlineStr">
        <is>
          <t>VÄRMLANDS LÄN</t>
        </is>
      </c>
      <c r="G607" t="inlineStr">
        <is>
          <t>EDA</t>
        </is>
      </c>
      <c r="I607" t="n">
        <v>8.1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46251</v>
      </c>
      <c r="F608" t="inlineStr">
        <is>
          <t>VÄRMLANDS LÄN</t>
        </is>
      </c>
      <c r="G608" t="inlineStr">
        <is>
          <t>EDA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46251</v>
      </c>
      <c r="F609" t="inlineStr">
        <is>
          <t>VÄRMLANDS LÄN</t>
        </is>
      </c>
      <c r="G609" t="inlineStr">
        <is>
          <t>EDA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45086-2023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46251</v>
      </c>
      <c r="F610" t="inlineStr">
        <is>
          <t>VÄRMLANDS LÄN</t>
        </is>
      </c>
      <c r="G610" t="inlineStr">
        <is>
          <t>EDA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46251</v>
      </c>
      <c r="F611" t="inlineStr">
        <is>
          <t>VÄRMLANDS LÄN</t>
        </is>
      </c>
      <c r="G611" t="inlineStr">
        <is>
          <t>EDA</t>
        </is>
      </c>
      <c r="I611" t="n">
        <v>10.7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45783</v>
      </c>
      <c r="E612" s="1" t="n">
        <v>46251</v>
      </c>
      <c r="F612" t="inlineStr">
        <is>
          <t>VÄRMLANDS LÄN</t>
        </is>
      </c>
      <c r="G612" t="inlineStr">
        <is>
          <t>EDA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43200-2024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45567</v>
      </c>
      <c r="E613" s="1" t="n">
        <v>46251</v>
      </c>
      <c r="F613" t="inlineStr">
        <is>
          <t>VÄRMLANDS LÄN</t>
        </is>
      </c>
      <c r="G613" t="inlineStr">
        <is>
          <t>EDA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46251</v>
      </c>
      <c r="F614" t="inlineStr">
        <is>
          <t>VÄRMLANDS LÄN</t>
        </is>
      </c>
      <c r="G614" t="inlineStr">
        <is>
          <t>EDA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46251</v>
      </c>
      <c r="F615" t="inlineStr">
        <is>
          <t>VÄRMLANDS LÄN</t>
        </is>
      </c>
      <c r="G615" t="inlineStr">
        <is>
          <t>EDA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44991</v>
      </c>
      <c r="E616" s="1" t="n">
        <v>46251</v>
      </c>
      <c r="F616" t="inlineStr">
        <is>
          <t>VÄRMLANDS LÄN</t>
        </is>
      </c>
      <c r="G616" t="inlineStr">
        <is>
          <t>EDA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45730</v>
      </c>
      <c r="E617" s="1" t="n">
        <v>46251</v>
      </c>
      <c r="F617" t="inlineStr">
        <is>
          <t>VÄRMLANDS LÄN</t>
        </is>
      </c>
      <c r="G617" t="inlineStr">
        <is>
          <t>EDA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46251</v>
      </c>
      <c r="F618" t="inlineStr">
        <is>
          <t>VÄRMLANDS LÄN</t>
        </is>
      </c>
      <c r="G618" t="inlineStr">
        <is>
          <t>EDA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23850-2026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46167</v>
      </c>
      <c r="E619" s="1" t="n">
        <v>46251</v>
      </c>
      <c r="F619" t="inlineStr">
        <is>
          <t>VÄRMLANDS LÄN</t>
        </is>
      </c>
      <c r="G619" t="inlineStr">
        <is>
          <t>EDA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44546</v>
      </c>
      <c r="E620" s="1" t="n">
        <v>46251</v>
      </c>
      <c r="F620" t="inlineStr">
        <is>
          <t>VÄRMLANDS LÄN</t>
        </is>
      </c>
      <c r="G620" t="inlineStr">
        <is>
          <t>EDA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45306</v>
      </c>
      <c r="E621" s="1" t="n">
        <v>46251</v>
      </c>
      <c r="F621" t="inlineStr">
        <is>
          <t>VÄRMLANDS LÄN</t>
        </is>
      </c>
      <c r="G621" t="inlineStr">
        <is>
          <t>EDA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24620-2023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45084</v>
      </c>
      <c r="E622" s="1" t="n">
        <v>46251</v>
      </c>
      <c r="F622" t="inlineStr">
        <is>
          <t>VÄRMLANDS LÄN</t>
        </is>
      </c>
      <c r="G622" t="inlineStr">
        <is>
          <t>EDA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46251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46251</v>
      </c>
      <c r="F624" t="inlineStr">
        <is>
          <t>VÄRMLANDS LÄN</t>
        </is>
      </c>
      <c r="G624" t="inlineStr">
        <is>
          <t>EDA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42197-2021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44426</v>
      </c>
      <c r="E625" s="1" t="n">
        <v>46251</v>
      </c>
      <c r="F625" t="inlineStr">
        <is>
          <t>VÄRMLANDS LÄN</t>
        </is>
      </c>
      <c r="G625" t="inlineStr">
        <is>
          <t>EDA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19475-2024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45429</v>
      </c>
      <c r="E626" s="1" t="n">
        <v>46251</v>
      </c>
      <c r="F626" t="inlineStr">
        <is>
          <t>VÄRMLANDS LÄN</t>
        </is>
      </c>
      <c r="G626" t="inlineStr">
        <is>
          <t>EDA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61999-2024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45654</v>
      </c>
      <c r="E627" s="1" t="n">
        <v>46251</v>
      </c>
      <c r="F627" t="inlineStr">
        <is>
          <t>VÄRMLANDS LÄN</t>
        </is>
      </c>
      <c r="G627" t="inlineStr">
        <is>
          <t>EDA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45443</v>
      </c>
      <c r="E628" s="1" t="n">
        <v>46251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57314-2024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45629</v>
      </c>
      <c r="E629" s="1" t="n">
        <v>46251</v>
      </c>
      <c r="F629" t="inlineStr">
        <is>
          <t>VÄRMLANDS LÄN</t>
        </is>
      </c>
      <c r="G629" t="inlineStr">
        <is>
          <t>EDA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46251</v>
      </c>
      <c r="F630" t="inlineStr">
        <is>
          <t>VÄRMLANDS LÄN</t>
        </is>
      </c>
      <c r="G630" t="inlineStr">
        <is>
          <t>EDA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45792</v>
      </c>
      <c r="E631" s="1" t="n">
        <v>46251</v>
      </c>
      <c r="F631" t="inlineStr">
        <is>
          <t>VÄRMLANDS LÄN</t>
        </is>
      </c>
      <c r="G631" t="inlineStr">
        <is>
          <t>EDA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45401-2024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45576</v>
      </c>
      <c r="E632" s="1" t="n">
        <v>46251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46251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44911</v>
      </c>
      <c r="E634" s="1" t="n">
        <v>46251</v>
      </c>
      <c r="F634" t="inlineStr">
        <is>
          <t>VÄRMLANDS LÄN</t>
        </is>
      </c>
      <c r="G634" t="inlineStr">
        <is>
          <t>EDA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45173</v>
      </c>
      <c r="E635" s="1" t="n">
        <v>46251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46251</v>
      </c>
      <c r="F636" t="inlineStr">
        <is>
          <t>VÄRMLANDS LÄN</t>
        </is>
      </c>
      <c r="G636" t="inlineStr">
        <is>
          <t>EDA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46251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45796</v>
      </c>
      <c r="E638" s="1" t="n">
        <v>46251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46251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46251</v>
      </c>
      <c r="F640" t="inlineStr">
        <is>
          <t>VÄRMLANDS LÄN</t>
        </is>
      </c>
      <c r="G640" t="inlineStr">
        <is>
          <t>EDA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46251</v>
      </c>
      <c r="F641" t="inlineStr">
        <is>
          <t>VÄRMLANDS LÄN</t>
        </is>
      </c>
      <c r="G641" t="inlineStr">
        <is>
          <t>EDA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34914-2023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45142</v>
      </c>
      <c r="E642" s="1" t="n">
        <v>46251</v>
      </c>
      <c r="F642" t="inlineStr">
        <is>
          <t>VÄRMLANDS LÄN</t>
        </is>
      </c>
      <c r="G642" t="inlineStr">
        <is>
          <t>EDA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46251</v>
      </c>
      <c r="F643" t="inlineStr">
        <is>
          <t>VÄRMLANDS LÄN</t>
        </is>
      </c>
      <c r="G643" t="inlineStr">
        <is>
          <t>EDA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46251</v>
      </c>
      <c r="F644" t="inlineStr">
        <is>
          <t>VÄRMLANDS LÄN</t>
        </is>
      </c>
      <c r="G644" t="inlineStr">
        <is>
          <t>EDA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46251</v>
      </c>
      <c r="F645" t="inlineStr">
        <is>
          <t>VÄRMLANDS LÄN</t>
        </is>
      </c>
      <c r="G645" t="inlineStr">
        <is>
          <t>EDA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46251</v>
      </c>
      <c r="F646" t="inlineStr">
        <is>
          <t>VÄRMLANDS LÄN</t>
        </is>
      </c>
      <c r="G646" t="inlineStr">
        <is>
          <t>EDA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46251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51143-2024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46251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45061</v>
      </c>
      <c r="E649" s="1" t="n">
        <v>46251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45803</v>
      </c>
      <c r="E650" s="1" t="n">
        <v>46251</v>
      </c>
      <c r="F650" t="inlineStr">
        <is>
          <t>VÄRMLANDS LÄN</t>
        </is>
      </c>
      <c r="G650" t="inlineStr">
        <is>
          <t>EDA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46251</v>
      </c>
      <c r="F651" t="inlineStr">
        <is>
          <t>VÄRMLANDS LÄN</t>
        </is>
      </c>
      <c r="G651" t="inlineStr">
        <is>
          <t>EDA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45614</v>
      </c>
      <c r="E652" s="1" t="n">
        <v>46251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32323-2024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45512</v>
      </c>
      <c r="E653" s="1" t="n">
        <v>46251</v>
      </c>
      <c r="F653" t="inlineStr">
        <is>
          <t>VÄRMLANDS LÄN</t>
        </is>
      </c>
      <c r="G653" t="inlineStr">
        <is>
          <t>EDA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47796-2023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46251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20055-2023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45054</v>
      </c>
      <c r="E655" s="1" t="n">
        <v>46251</v>
      </c>
      <c r="F655" t="inlineStr">
        <is>
          <t>VÄRMLANDS LÄN</t>
        </is>
      </c>
      <c r="G655" t="inlineStr">
        <is>
          <t>EDA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46251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45502</v>
      </c>
      <c r="E657" s="1" t="n">
        <v>46251</v>
      </c>
      <c r="F657" t="inlineStr">
        <is>
          <t>VÄRMLANDS LÄN</t>
        </is>
      </c>
      <c r="G657" t="inlineStr">
        <is>
          <t>EDA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26482-2026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46251</v>
      </c>
      <c r="F658" t="inlineStr">
        <is>
          <t>VÄRMLANDS LÄN</t>
        </is>
      </c>
      <c r="G658" t="inlineStr">
        <is>
          <t>EDA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45629</v>
      </c>
      <c r="E659" s="1" t="n">
        <v>46251</v>
      </c>
      <c r="F659" t="inlineStr">
        <is>
          <t>VÄRMLANDS LÄN</t>
        </is>
      </c>
      <c r="G659" t="inlineStr">
        <is>
          <t>EDA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46251</v>
      </c>
      <c r="F660" t="inlineStr">
        <is>
          <t>VÄRMLANDS LÄN</t>
        </is>
      </c>
      <c r="G660" t="inlineStr">
        <is>
          <t>EDA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6490-2023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44966</v>
      </c>
      <c r="E661" s="1" t="n">
        <v>46251</v>
      </c>
      <c r="F661" t="inlineStr">
        <is>
          <t>VÄRMLANDS LÄN</t>
        </is>
      </c>
      <c r="G661" t="inlineStr">
        <is>
          <t>EDA</t>
        </is>
      </c>
      <c r="H661" t="inlineStr">
        <is>
          <t>Övriga statliga verk och myndigheter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50225-2024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45600</v>
      </c>
      <c r="E662" s="1" t="n">
        <v>46251</v>
      </c>
      <c r="F662" t="inlineStr">
        <is>
          <t>VÄRMLANDS LÄN</t>
        </is>
      </c>
      <c r="G662" t="inlineStr">
        <is>
          <t>EDA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44581</v>
      </c>
      <c r="E663" s="1" t="n">
        <v>46251</v>
      </c>
      <c r="F663" t="inlineStr">
        <is>
          <t>VÄRMLANDS LÄN</t>
        </is>
      </c>
      <c r="G663" t="inlineStr">
        <is>
          <t>EDA</t>
        </is>
      </c>
      <c r="I663" t="n">
        <v>22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12239-2024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45378</v>
      </c>
      <c r="E664" s="1" t="n">
        <v>46251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46251</v>
      </c>
      <c r="F665" t="inlineStr">
        <is>
          <t>VÄRMLANDS LÄN</t>
        </is>
      </c>
      <c r="G665" t="inlineStr">
        <is>
          <t>EDA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45726</v>
      </c>
      <c r="E666" s="1" t="n">
        <v>46251</v>
      </c>
      <c r="F666" t="inlineStr">
        <is>
          <t>VÄRMLANDS LÄN</t>
        </is>
      </c>
      <c r="G666" t="inlineStr">
        <is>
          <t>EDA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45580</v>
      </c>
      <c r="E667" s="1" t="n">
        <v>46251</v>
      </c>
      <c r="F667" t="inlineStr">
        <is>
          <t>VÄRMLANDS LÄN</t>
        </is>
      </c>
      <c r="G667" t="inlineStr">
        <is>
          <t>EDA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46251</v>
      </c>
      <c r="F668" t="inlineStr">
        <is>
          <t>VÄRMLANDS LÄN</t>
        </is>
      </c>
      <c r="G668" t="inlineStr">
        <is>
          <t>EDA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46251</v>
      </c>
      <c r="F669" t="inlineStr">
        <is>
          <t>VÄRMLANDS LÄN</t>
        </is>
      </c>
      <c r="G669" t="inlineStr">
        <is>
          <t>EDA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55903-2024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45623</v>
      </c>
      <c r="E670" s="1" t="n">
        <v>46251</v>
      </c>
      <c r="F670" t="inlineStr">
        <is>
          <t>VÄRMLANDS LÄN</t>
        </is>
      </c>
      <c r="G670" t="inlineStr">
        <is>
          <t>EDA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46251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46646-2024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45583</v>
      </c>
      <c r="E672" s="1" t="n">
        <v>46251</v>
      </c>
      <c r="F672" t="inlineStr">
        <is>
          <t>VÄRMLANDS LÄN</t>
        </is>
      </c>
      <c r="G672" t="inlineStr">
        <is>
          <t>EDA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36438-2022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44804</v>
      </c>
      <c r="E673" s="1" t="n">
        <v>46251</v>
      </c>
      <c r="F673" t="inlineStr">
        <is>
          <t>VÄRMLANDS LÄN</t>
        </is>
      </c>
      <c r="G673" t="inlineStr">
        <is>
          <t>EDA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12113-2022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44636</v>
      </c>
      <c r="E674" s="1" t="n">
        <v>46251</v>
      </c>
      <c r="F674" t="inlineStr">
        <is>
          <t>VÄRMLANDS LÄN</t>
        </is>
      </c>
      <c r="G674" t="inlineStr">
        <is>
          <t>EDA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46251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11146-2022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44629</v>
      </c>
      <c r="E676" s="1" t="n">
        <v>46251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45091</v>
      </c>
      <c r="E677" s="1" t="n">
        <v>46251</v>
      </c>
      <c r="F677" t="inlineStr">
        <is>
          <t>VÄRMLANDS LÄN</t>
        </is>
      </c>
      <c r="G677" t="inlineStr">
        <is>
          <t>EDA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26167-2023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45091</v>
      </c>
      <c r="E678" s="1" t="n">
        <v>46251</v>
      </c>
      <c r="F678" t="inlineStr">
        <is>
          <t>VÄRMLANDS LÄN</t>
        </is>
      </c>
      <c r="G678" t="inlineStr">
        <is>
          <t>EDA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26174-2023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45091</v>
      </c>
      <c r="E679" s="1" t="n">
        <v>46251</v>
      </c>
      <c r="F679" t="inlineStr">
        <is>
          <t>VÄRMLANDS LÄN</t>
        </is>
      </c>
      <c r="G679" t="inlineStr">
        <is>
          <t>EDA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46251</v>
      </c>
      <c r="F680" t="inlineStr">
        <is>
          <t>VÄRMLANDS LÄN</t>
        </is>
      </c>
      <c r="G680" t="inlineStr">
        <is>
          <t>EDA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45590</v>
      </c>
      <c r="E681" s="1" t="n">
        <v>46251</v>
      </c>
      <c r="F681" t="inlineStr">
        <is>
          <t>VÄRMLANDS LÄN</t>
        </is>
      </c>
      <c r="G681" t="inlineStr">
        <is>
          <t>EDA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45818</v>
      </c>
      <c r="E682" s="1" t="n">
        <v>46251</v>
      </c>
      <c r="F682" t="inlineStr">
        <is>
          <t>VÄRMLANDS LÄN</t>
        </is>
      </c>
      <c r="G682" t="inlineStr">
        <is>
          <t>EDA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28326-2025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46251</v>
      </c>
      <c r="F683" t="inlineStr">
        <is>
          <t>VÄRMLANDS LÄN</t>
        </is>
      </c>
      <c r="G683" t="inlineStr">
        <is>
          <t>EDA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46251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9179-2025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45714</v>
      </c>
      <c r="E685" s="1" t="n">
        <v>46251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17746-2025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45758</v>
      </c>
      <c r="E686" s="1" t="n">
        <v>46251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46251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28936-2023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45104</v>
      </c>
      <c r="E688" s="1" t="n">
        <v>46251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74069-2021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44557</v>
      </c>
      <c r="E689" s="1" t="n">
        <v>46251</v>
      </c>
      <c r="F689" t="inlineStr">
        <is>
          <t>VÄRMLANDS LÄN</t>
        </is>
      </c>
      <c r="G689" t="inlineStr">
        <is>
          <t>EDA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45176</v>
      </c>
      <c r="E690" s="1" t="n">
        <v>46251</v>
      </c>
      <c r="F690" t="inlineStr">
        <is>
          <t>VÄRMLANDS LÄN</t>
        </is>
      </c>
      <c r="G690" t="inlineStr">
        <is>
          <t>EDA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54019-2023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45231</v>
      </c>
      <c r="E691" s="1" t="n">
        <v>46251</v>
      </c>
      <c r="F691" t="inlineStr">
        <is>
          <t>VÄRMLANDS LÄN</t>
        </is>
      </c>
      <c r="G691" t="inlineStr">
        <is>
          <t>EDA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45886-2023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46251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30500-2023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46251</v>
      </c>
      <c r="F693" t="inlineStr">
        <is>
          <t>VÄRMLANDS LÄN</t>
        </is>
      </c>
      <c r="G693" t="inlineStr">
        <is>
          <t>EDA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52368-2022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44874</v>
      </c>
      <c r="E694" s="1" t="n">
        <v>46251</v>
      </c>
      <c r="F694" t="inlineStr">
        <is>
          <t>VÄRMLANDS LÄN</t>
        </is>
      </c>
      <c r="G694" t="inlineStr">
        <is>
          <t>EDA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46251</v>
      </c>
      <c r="F695" t="inlineStr">
        <is>
          <t>VÄRMLANDS LÄN</t>
        </is>
      </c>
      <c r="G695" t="inlineStr">
        <is>
          <t>EDA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32403-2025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46251</v>
      </c>
      <c r="F696" t="inlineStr">
        <is>
          <t>VÄRMLANDS LÄN</t>
        </is>
      </c>
      <c r="G696" t="inlineStr">
        <is>
          <t>EDA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46293-2023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45197</v>
      </c>
      <c r="E697" s="1" t="n">
        <v>46251</v>
      </c>
      <c r="F697" t="inlineStr">
        <is>
          <t>VÄRMLANDS LÄN</t>
        </is>
      </c>
      <c r="G697" t="inlineStr">
        <is>
          <t>EDA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32406-2025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46251</v>
      </c>
      <c r="F698" t="inlineStr">
        <is>
          <t>VÄRMLANDS LÄN</t>
        </is>
      </c>
      <c r="G698" t="inlineStr">
        <is>
          <t>EDA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45616</v>
      </c>
      <c r="E699" s="1" t="n">
        <v>46251</v>
      </c>
      <c r="F699" t="inlineStr">
        <is>
          <t>VÄRMLANDS LÄN</t>
        </is>
      </c>
      <c r="G699" t="inlineStr">
        <is>
          <t>EDA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46251</v>
      </c>
      <c r="F700" t="inlineStr">
        <is>
          <t>VÄRMLANDS LÄN</t>
        </is>
      </c>
      <c r="G700" t="inlineStr">
        <is>
          <t>EDA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32225-2026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46237</v>
      </c>
      <c r="E701" s="1" t="n">
        <v>46251</v>
      </c>
      <c r="F701" t="inlineStr">
        <is>
          <t>VÄRMLANDS LÄN</t>
        </is>
      </c>
      <c r="G701" t="inlineStr">
        <is>
          <t>EDA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45839</v>
      </c>
      <c r="E702" s="1" t="n">
        <v>46251</v>
      </c>
      <c r="F702" t="inlineStr">
        <is>
          <t>VÄRMLANDS LÄN</t>
        </is>
      </c>
      <c r="G702" t="inlineStr">
        <is>
          <t>EDA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32790-2025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45839</v>
      </c>
      <c r="E703" s="1" t="n">
        <v>46251</v>
      </c>
      <c r="F703" t="inlineStr">
        <is>
          <t>VÄRMLANDS LÄN</t>
        </is>
      </c>
      <c r="G703" t="inlineStr">
        <is>
          <t>EDA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46251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45245</v>
      </c>
      <c r="E705" s="1" t="n">
        <v>46251</v>
      </c>
      <c r="F705" t="inlineStr">
        <is>
          <t>VÄRMLANDS LÄN</t>
        </is>
      </c>
      <c r="G705" t="inlineStr">
        <is>
          <t>EDA</t>
        </is>
      </c>
      <c r="H705" t="inlineStr">
        <is>
          <t>Övriga Aktiebolag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46251</v>
      </c>
      <c r="F706" t="inlineStr">
        <is>
          <t>VÄRMLANDS LÄN</t>
        </is>
      </c>
      <c r="G706" t="inlineStr">
        <is>
          <t>EDA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46251</v>
      </c>
      <c r="F707" t="inlineStr">
        <is>
          <t>VÄRMLANDS LÄN</t>
        </is>
      </c>
      <c r="G707" t="inlineStr">
        <is>
          <t>EDA</t>
        </is>
      </c>
      <c r="I707" t="n">
        <v>12.9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33416-2025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45841</v>
      </c>
      <c r="E708" s="1" t="n">
        <v>46251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46251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45817</v>
      </c>
      <c r="E710" s="1" t="n">
        <v>46251</v>
      </c>
      <c r="F710" t="inlineStr">
        <is>
          <t>VÄRMLANDS LÄN</t>
        </is>
      </c>
      <c r="G710" t="inlineStr">
        <is>
          <t>EDA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59192-2023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46251</v>
      </c>
      <c r="F711" t="inlineStr">
        <is>
          <t>VÄRMLANDS LÄN</t>
        </is>
      </c>
      <c r="G711" t="inlineStr">
        <is>
          <t>EDA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39583-2024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46251</v>
      </c>
      <c r="F712" t="inlineStr">
        <is>
          <t>VÄRMLANDS LÄN</t>
        </is>
      </c>
      <c r="G712" t="inlineStr">
        <is>
          <t>EDA</t>
        </is>
      </c>
      <c r="H712" t="inlineStr">
        <is>
          <t>Kommuner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46251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47759-2024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45588</v>
      </c>
      <c r="E714" s="1" t="n">
        <v>46251</v>
      </c>
      <c r="F714" t="inlineStr">
        <is>
          <t>VÄRMLANDS LÄN</t>
        </is>
      </c>
      <c r="G714" t="inlineStr">
        <is>
          <t>EDA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13453-2025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45736</v>
      </c>
      <c r="E715" s="1" t="n">
        <v>46251</v>
      </c>
      <c r="F715" t="inlineStr">
        <is>
          <t>VÄRMLANDS LÄN</t>
        </is>
      </c>
      <c r="G715" t="inlineStr">
        <is>
          <t>EDA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21045-2023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46251</v>
      </c>
      <c r="F716" t="inlineStr">
        <is>
          <t>VÄRMLANDS LÄN</t>
        </is>
      </c>
      <c r="G716" t="inlineStr">
        <is>
          <t>EDA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9506-2025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46251</v>
      </c>
      <c r="F717" t="inlineStr">
        <is>
          <t>VÄRMLANDS LÄN</t>
        </is>
      </c>
      <c r="G717" t="inlineStr">
        <is>
          <t>EDA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46251</v>
      </c>
      <c r="F718" t="inlineStr">
        <is>
          <t>VÄRMLANDS LÄN</t>
        </is>
      </c>
      <c r="G718" t="inlineStr">
        <is>
          <t>EDA</t>
        </is>
      </c>
      <c r="I718" t="n">
        <v>16.9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46240</v>
      </c>
      <c r="E719" s="1" t="n">
        <v>46251</v>
      </c>
      <c r="F719" t="inlineStr">
        <is>
          <t>VÄRMLANDS LÄN</t>
        </is>
      </c>
      <c r="G719" t="inlineStr">
        <is>
          <t>EDA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34795-2025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45848</v>
      </c>
      <c r="E720" s="1" t="n">
        <v>46251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21140-2025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45778</v>
      </c>
      <c r="E721" s="1" t="n">
        <v>46251</v>
      </c>
      <c r="F721" t="inlineStr">
        <is>
          <t>VÄRMLANDS LÄN</t>
        </is>
      </c>
      <c r="G721" t="inlineStr">
        <is>
          <t>EDA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45856</v>
      </c>
      <c r="E722" s="1" t="n">
        <v>46251</v>
      </c>
      <c r="F722" t="inlineStr">
        <is>
          <t>VÄRMLANDS LÄN</t>
        </is>
      </c>
      <c r="G722" t="inlineStr">
        <is>
          <t>EDA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28394-2026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46196</v>
      </c>
      <c r="E723" s="1" t="n">
        <v>46251</v>
      </c>
      <c r="F723" t="inlineStr">
        <is>
          <t>VÄRMLANDS LÄN</t>
        </is>
      </c>
      <c r="G723" t="inlineStr">
        <is>
          <t>EDA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46251</v>
      </c>
      <c r="F724" t="inlineStr">
        <is>
          <t>VÄRMLANDS LÄN</t>
        </is>
      </c>
      <c r="G724" t="inlineStr">
        <is>
          <t>EDA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28965-2026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46251</v>
      </c>
      <c r="F725" t="inlineStr">
        <is>
          <t>VÄRMLANDS LÄN</t>
        </is>
      </c>
      <c r="G725" t="inlineStr">
        <is>
          <t>EDA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46251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46251</v>
      </c>
      <c r="F727" t="inlineStr">
        <is>
          <t>VÄRMLANDS LÄN</t>
        </is>
      </c>
      <c r="G727" t="inlineStr">
        <is>
          <t>EDA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45749</v>
      </c>
      <c r="E728" s="1" t="n">
        <v>46251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46251</v>
      </c>
      <c r="F729" t="inlineStr">
        <is>
          <t>VÄRMLANDS LÄN</t>
        </is>
      </c>
      <c r="G729" t="inlineStr">
        <is>
          <t>EDA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45874</v>
      </c>
      <c r="E730" s="1" t="n">
        <v>46251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46251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46251</v>
      </c>
      <c r="F732" t="inlineStr">
        <is>
          <t>VÄRMLANDS LÄN</t>
        </is>
      </c>
      <c r="G732" t="inlineStr">
        <is>
          <t>EDA</t>
        </is>
      </c>
      <c r="I732" t="n">
        <v>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46251</v>
      </c>
      <c r="F733" t="inlineStr">
        <is>
          <t>VÄRMLANDS LÄN</t>
        </is>
      </c>
      <c r="G733" t="inlineStr">
        <is>
          <t>EDA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29453-2026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46203</v>
      </c>
      <c r="E734" s="1" t="n">
        <v>46251</v>
      </c>
      <c r="F734" t="inlineStr">
        <is>
          <t>VÄRMLANDS LÄN</t>
        </is>
      </c>
      <c r="G734" t="inlineStr">
        <is>
          <t>EDA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46251</v>
      </c>
      <c r="F735" t="inlineStr">
        <is>
          <t>VÄRMLANDS LÄN</t>
        </is>
      </c>
      <c r="G735" t="inlineStr">
        <is>
          <t>EDA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33162-2026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46245</v>
      </c>
      <c r="E736" s="1" t="n">
        <v>46251</v>
      </c>
      <c r="F736" t="inlineStr">
        <is>
          <t>VÄRMLANDS LÄN</t>
        </is>
      </c>
      <c r="G736" t="inlineStr">
        <is>
          <t>EDA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46251</v>
      </c>
      <c r="F737" t="inlineStr">
        <is>
          <t>VÄRMLANDS LÄN</t>
        </is>
      </c>
      <c r="G737" t="inlineStr">
        <is>
          <t>EDA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46251</v>
      </c>
      <c r="F738" t="inlineStr">
        <is>
          <t>VÄRMLANDS LÄN</t>
        </is>
      </c>
      <c r="G738" t="inlineStr">
        <is>
          <t>EDA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46251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57599-2023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46251</v>
      </c>
      <c r="F740" t="inlineStr">
        <is>
          <t>VÄRMLANDS LÄN</t>
        </is>
      </c>
      <c r="G740" t="inlineStr">
        <is>
          <t>EDA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33425-2026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46251</v>
      </c>
      <c r="F741" t="inlineStr">
        <is>
          <t>VÄRMLANDS LÄN</t>
        </is>
      </c>
      <c r="G741" t="inlineStr">
        <is>
          <t>EDA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46251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46251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46251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46251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46251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46251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46251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46251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2026-08-17T01:45:34Z</dcterms:created>
  <dcterms:modified xmlns:dcterms="http://purl.org/dc/terms/" xmlns:xsi="http://www.w3.org/2001/XMLSchema-instance" xsi:type="dcterms:W3CDTF">2026-08-17T01:45:34Z</dcterms:modified>
</cp:coreProperties>
</file>